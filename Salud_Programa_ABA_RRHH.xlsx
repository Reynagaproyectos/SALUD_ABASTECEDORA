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aniel.reynaga\Downloads\"/>
    </mc:Choice>
  </mc:AlternateContent>
  <xr:revisionPtr revIDLastSave="0" documentId="13_ncr:1_{991E21F1-178E-4D54-92BC-149926FA1D21}" xr6:coauthVersionLast="47" xr6:coauthVersionMax="47" xr10:uidLastSave="{00000000-0000-0000-0000-000000000000}"/>
  <bookViews>
    <workbookView xWindow="-108" yWindow="-108" windowWidth="23256" windowHeight="12456" xr2:uid="{00000000-000D-0000-FFFF-FFFF00000000}"/>
  </bookViews>
  <sheets>
    <sheet name="Cronograma_Fase2" sheetId="1" r:id="rId1"/>
    <sheet name="cronograma_original" sheetId="10" r:id="rId2"/>
    <sheet name="Sucursales" sheetId="2" r:id="rId3"/>
    <sheet name="Presupuesto" sheetId="3" r:id="rId4"/>
    <sheet name="Corridas_Financieras" sheetId="4" r:id="rId5"/>
    <sheet name="Riesgos" sheetId="5" r:id="rId6"/>
    <sheet name="Highlights" sheetId="6" r:id="rId7"/>
    <sheet name="LEEME" sheetId="7" r:id="rId8"/>
    <sheet name="Matriz_Riesgos" sheetId="8" r:id="rId9"/>
    <sheet name="Gastos_Equipo" sheetId="9" r:id="rId10"/>
  </sheets>
  <definedNames>
    <definedName name="_xlnm._FilterDatabase" localSheetId="0" hidden="1">Cronograma_Fase2!$A$1:$K$81</definedName>
    <definedName name="_xlnm._FilterDatabase" localSheetId="9" hidden="1">Gastos_Equipo!$A$1:$F$94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3" l="1"/>
  <c r="D94" i="9"/>
  <c r="E94" i="9"/>
  <c r="E11" i="3"/>
  <c r="E10" i="3"/>
  <c r="E9" i="3"/>
  <c r="E8" i="3"/>
  <c r="E7" i="3"/>
  <c r="E6" i="3"/>
  <c r="E5" i="3"/>
  <c r="E4" i="3"/>
  <c r="E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Dashboard ABA</author>
  </authors>
  <commentList>
    <comment ref="B1" authorId="0" shapeId="0" xr:uid="{00000000-0006-0000-0000-000001000000}">
      <text>
        <r>
          <rPr>
            <sz val="11"/>
            <color theme="1"/>
            <rFont val="Calibri"/>
            <family val="2"/>
            <scheme val="minor"/>
          </rPr>
          <t>Fase o actividad. Puedes agregar FASES nuevas (p. ej. 'Documentación BPM') con sus fechas: entran solas al avance por fase, a los pesos (que se re-normalizan a 100%), al Gantt y al filtro. Las filas cuya Fase sea 'Aperturas' se detectan como hito Go-Live.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Dashboard ABA</author>
  </authors>
  <commentList>
    <comment ref="B1" authorId="0" shapeId="0" xr:uid="{2D035CC2-2A99-44E2-A575-04B3A8D664FD}">
      <text>
        <r>
          <rPr>
            <sz val="11"/>
            <color theme="1"/>
            <rFont val="Calibri"/>
            <family val="2"/>
            <scheme val="minor"/>
          </rPr>
          <t>Fase o actividad. Puedes agregar FASES nuevas (p. ej. 'Documentación BPM') con sus fechas: entran solas al avance por fase, a los pesos (que se re-normalizan a 100%), al Gantt y al filtro. Las filas cuya Fase sea 'Aperturas' se detectan como hito Go-Live.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Dashboard ABA</author>
  </authors>
  <commentList>
    <comment ref="B1" authorId="0" shapeId="0" xr:uid="{00000000-0006-0000-0100-000001000000}">
      <text>
        <r>
          <rPr>
            <sz val="11"/>
            <color theme="1"/>
            <rFont val="Calibri"/>
            <family val="2"/>
            <scheme val="minor"/>
          </rPr>
          <t>Formato / tamaño de piso de venta en m². Referencia de promesa de venta mensual: 300 m² = 2.5 MDP · 150 m² = 1 MDP · 2000 m² = 8 MDP.</t>
        </r>
      </text>
    </comment>
    <comment ref="D1" authorId="0" shapeId="0" xr:uid="{00000000-0006-0000-0100-000002000000}">
      <text>
        <r>
          <rPr>
            <sz val="11"/>
            <color theme="1"/>
            <rFont val="Calibri"/>
            <family val="2"/>
            <scheme val="minor"/>
          </rPr>
          <t>Promesa de venta mensual de referencia del formato. El dashboard suma la promesa del programa y la usa en el catálogo por sucursal.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Dashboard ABA</author>
  </authors>
  <commentList>
    <comment ref="D1" authorId="0" shapeId="0" xr:uid="{00000000-0006-0000-0200-000001000000}">
      <text>
        <r>
          <rPr>
            <sz val="11"/>
            <color theme="1"/>
            <rFont val="Calibri"/>
            <family val="2"/>
            <scheme val="minor"/>
          </rPr>
          <t>Monto de riesgo financiero PROPIO de cada sucursal (requerimiento del programa: por tienda, no promedio global). El dashboard suma el total.</t>
        </r>
      </text>
    </comment>
    <comment ref="E1" authorId="0" shapeId="0" xr:uid="{00000000-0006-0000-0200-000002000000}">
      <text>
        <r>
          <rPr>
            <sz val="11"/>
            <color theme="1"/>
            <rFont val="Calibri"/>
            <family val="2"/>
            <scheme val="minor"/>
          </rPr>
          <t>Fórmula = Ejercido / Presupuesto_Plan. El dashboard también lo recalcula al generarse; no es necesario editarla.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Dashboard ABA</author>
  </authors>
  <commentList>
    <comment ref="B1" authorId="0" shapeId="0" xr:uid="{00000000-0006-0000-0300-000001000000}">
      <text>
        <r>
          <rPr>
            <sz val="11"/>
            <color theme="1"/>
            <rFont val="Calibri"/>
            <family val="2"/>
            <scheme val="minor"/>
          </rPr>
          <t>Inversión / capital desplegado (capex). Si se deja vacío, el dashboard usa el Presupuesto_Plan de la sucursal. Base para el Índice de Rentabilidad PI = VAN / Inversión.</t>
        </r>
      </text>
    </comment>
    <comment ref="C1" authorId="0" shapeId="0" xr:uid="{00000000-0006-0000-0300-000002000000}">
      <text>
        <r>
          <rPr>
            <sz val="11"/>
            <color theme="1"/>
            <rFont val="Calibri"/>
            <family val="2"/>
            <scheme val="minor"/>
          </rPr>
          <t>Tasa de descuento / rendimiento mínimo aceptable (hurdle) de la corrida. Ej. 12%.</t>
        </r>
      </text>
    </comment>
    <comment ref="D1" authorId="0" shapeId="0" xr:uid="{00000000-0006-0000-0300-000003000000}">
      <text>
        <r>
          <rPr>
            <sz val="11"/>
            <color theme="1"/>
            <rFont val="Calibri"/>
            <family val="2"/>
            <scheme val="minor"/>
          </rPr>
          <t>Valor Actual Neto a 8 años. Es aditivo: el dashboard suma el VAN del programa.</t>
        </r>
      </text>
    </comment>
    <comment ref="E1" authorId="0" shapeId="0" xr:uid="{00000000-0006-0000-0300-000004000000}">
      <text>
        <r>
          <rPr>
            <sz val="11"/>
            <color theme="1"/>
            <rFont val="Calibri"/>
            <family val="2"/>
            <scheme val="minor"/>
          </rPr>
          <t>TIR ANUAL a 8 años. NO es aditiva: el dashboard muestra promedio ponderado, rango y cuántas sucursales superan su Tasa_Anual.</t>
        </r>
      </text>
    </comment>
    <comment ref="F1" authorId="0" shapeId="0" xr:uid="{00000000-0006-0000-0300-000005000000}">
      <text>
        <r>
          <rPr>
            <sz val="11"/>
            <color theme="1"/>
            <rFont val="Calibri"/>
            <family val="2"/>
            <scheme val="minor"/>
          </rPr>
          <t>Payback en meses. NO es aditivo: se reporta promedio y rango.</t>
        </r>
      </text>
    </comment>
    <comment ref="G1" authorId="0" shapeId="0" xr:uid="{00000000-0006-0000-0300-000006000000}">
      <text>
        <r>
          <rPr>
            <sz val="11"/>
            <color theme="1"/>
            <rFont val="Calibri"/>
            <family val="2"/>
            <scheme val="minor"/>
          </rPr>
          <t>ROI a 8 años (utilidad acumulada / inversión).</t>
        </r>
      </text>
    </comment>
    <comment ref="H1" authorId="0" shapeId="0" xr:uid="{00000000-0006-0000-0300-000007000000}">
      <text>
        <r>
          <rPr>
            <sz val="11"/>
            <color theme="1"/>
            <rFont val="Calibri"/>
            <family val="2"/>
            <scheme val="minor"/>
          </rPr>
          <t>EBITDA promedio mensual. Aditivo: el dashboard suma el EBITDA del programa.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Dashboard ABA</author>
  </authors>
  <commentList>
    <comment ref="C1" authorId="0" shapeId="0" xr:uid="{00000000-0006-0000-0400-000001000000}">
      <text>
        <r>
          <rPr>
            <sz val="11"/>
            <color theme="1"/>
            <rFont val="Calibri"/>
            <family val="2"/>
            <scheme val="minor"/>
          </rPr>
          <t>Sucursal a la que aplica el riesgo. Usa 'Programa' para riesgos transversales. Permite filtrar la matriz por tienda.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Dashboard ABA</author>
  </authors>
  <commentList>
    <comment ref="A1" authorId="0" shapeId="0" xr:uid="{00000000-0006-0000-0500-000001000000}">
      <text>
        <r>
          <rPr>
            <sz val="11"/>
            <color theme="1"/>
            <rFont val="Calibri"/>
            <family val="2"/>
            <scheme val="minor"/>
          </rPr>
          <t>Categoría del punto. Usa exactamente uno de: 'Highlight', 'Objetivo pendiente' u 'Objetivo siguiente'. El dashboard agrupa por esta categoría en la pestaña Highlights.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5AA81E07-110F-4263-AA72-FB96B47841C9}">
      <text>
        <r>
          <rPr>
            <sz val="10"/>
            <rFont val="Arial"/>
            <family val="2"/>
          </rPr>
          <t>Riesgos GENERALES del programa (transversales, no por sucursal, sin monto). Probabilidad: Muy probable/Probable/Algo probable/Poco probable. Impacto y Ponderación: Alto/Medio/Bajo. Estatus: Activo/Cerrado.</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Unknown Author</author>
    <author>tc={86C7F4C4-105F-4778-82B1-142F8FBEFA0D}</author>
    <author>tc={C1DFFD39-367E-44C6-8B6A-E05F434AFC92}</author>
    <author>tc={2A69CF82-F468-4298-A0C2-CA79E7331707}</author>
    <author>tc={8807B4CF-11F0-47B0-97E5-FF83270F4D42}</author>
    <author>tc={25545304-1A28-4996-A8EE-82388D46CEC9}</author>
    <author>tc={4F37E8B4-A543-49AC-B4DC-E88686C92D60}</author>
    <author>tc={34CB1C54-C732-4475-AAD6-EA2B4C099077}</author>
    <author>tc={F7813E30-7E1D-430D-AE3D-EE9054CEA357}</author>
    <author>tc={503CB226-2BEC-4893-8129-939270384934}</author>
    <author>tc={ED7AFE7D-EA8E-4717-999D-0932951DD5FA}</author>
    <author>tc={9E1C17B7-584B-45E9-A62E-CBD183DAE600}</author>
    <author>tc={CCDE92F1-D0B7-4B38-856C-36CBD364D71B}</author>
    <author>tc={61DF921F-C5A9-4E0D-A45E-A0077C134FFD}</author>
    <author>tc={3FF560B1-8B41-4B57-AEED-907AE6229E74}</author>
    <author>tc={7BCD6525-B2EC-4FDE-8525-946F10EB714B}</author>
    <author>tc={BEE41C2C-2BC7-4AAF-9208-3BBAF0EE97E5}</author>
    <author>tc={7E21DC0C-E630-42C7-B359-6F262740F375}</author>
    <author>tc={B9698BB4-EAAC-4A72-A297-4461D5E46989}</author>
  </authors>
  <commentList>
    <comment ref="A1" authorId="0" shapeId="0" xr:uid="{1226ED1D-4E32-41D5-AEE9-324191C3D719}">
      <text>
        <r>
          <rPr>
            <sz val="10"/>
            <rFont val="Arial"/>
            <family val="2"/>
          </rPr>
          <t>OPEX del equipo de Expansión (nómina y viáticos), separado del capex por sucursal. Una fila por Mes x Concepto. Mes en formato AAAA-MM. Frente: deja 'Equipo' o pon la sucursal si el gasto es atribuible.</t>
        </r>
      </text>
    </comment>
    <comment ref="D7" authorId="1" shapeId="0" xr:uid="{86C7F4C4-105F-4778-82B1-142F8FBEFA0D}">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8" authorId="2" shapeId="0" xr:uid="{C1DFFD39-367E-44C6-8B6A-E05F434AFC92}">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9" authorId="3" shapeId="0" xr:uid="{2A69CF82-F468-4298-A0C2-CA79E7331707}">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10" authorId="4" shapeId="0" xr:uid="{8807B4CF-11F0-47B0-97E5-FF83270F4D42}">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11" authorId="5" shapeId="0" xr:uid="{25545304-1A28-4996-A8EE-82388D46CEC9}">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12" authorId="6" shapeId="0" xr:uid="{4F37E8B4-A543-49AC-B4DC-E88686C92D60}">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13" authorId="7" shapeId="0" xr:uid="{34CB1C54-C732-4475-AAD6-EA2B4C099077}">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14" authorId="8" shapeId="0" xr:uid="{F7813E30-7E1D-430D-AE3D-EE9054CEA357}">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15" authorId="9" shapeId="0" xr:uid="{503CB226-2BEC-4893-8129-939270384934}">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16" authorId="10" shapeId="0" xr:uid="{ED7AFE7D-EA8E-4717-999D-0932951DD5FA}">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17" authorId="11" shapeId="0" xr:uid="{9E1C17B7-584B-45E9-A62E-CBD183DAE600}">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18" authorId="12" shapeId="0" xr:uid="{CCDE92F1-D0B7-4B38-856C-36CBD364D71B}">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19" authorId="13" shapeId="0" xr:uid="{61DF921F-C5A9-4E0D-A45E-A0077C134FFD}">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20" authorId="14" shapeId="0" xr:uid="{3FF560B1-8B41-4B57-AEED-907AE6229E74}">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21" authorId="15" shapeId="0" xr:uid="{7BCD6525-B2EC-4FDE-8525-946F10EB714B}">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22" authorId="16" shapeId="0" xr:uid="{BEE41C2C-2BC7-4AAF-9208-3BBAF0EE97E5}">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23" authorId="17" shapeId="0" xr:uid="{7E21DC0C-E630-42C7-B359-6F262740F375}">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 ref="D24" authorId="18" shapeId="0" xr:uid="{B9698BB4-EAAC-4A72-A297-4461D5E46989}">
      <text>
        <t xml:space="preserve">[Threaded comment]
Your version of Excel allows you to read this threaded comment; however, any edits to it will get removed if the file is opened in a newer version of Excel. Learn more: https://go.microsoft.com/fwlink/?linkid=870924
Comment:
    Teórico + gestor
</t>
      </text>
    </comment>
  </commentList>
</comments>
</file>

<file path=xl/sharedStrings.xml><?xml version="1.0" encoding="utf-8"?>
<sst xmlns="http://schemas.openxmlformats.org/spreadsheetml/2006/main" count="1758" uniqueCount="377">
  <si>
    <t>Sucursal</t>
  </si>
  <si>
    <t>Fase</t>
  </si>
  <si>
    <t>Responsable</t>
  </si>
  <si>
    <t>Área</t>
  </si>
  <si>
    <t>Inicio Plan</t>
  </si>
  <si>
    <t>Fin Plan</t>
  </si>
  <si>
    <t>Inicio Real</t>
  </si>
  <si>
    <t>Fin Real</t>
  </si>
  <si>
    <t>Progreso Real %</t>
  </si>
  <si>
    <t>Estatus</t>
  </si>
  <si>
    <t>Comentarios</t>
  </si>
  <si>
    <t>Tepexi de Rodríguez</t>
  </si>
  <si>
    <t>Análisis de gabinete</t>
  </si>
  <si>
    <t>Roberto Hoyos</t>
  </si>
  <si>
    <t>Expansión</t>
  </si>
  <si>
    <t>2026-04-01</t>
  </si>
  <si>
    <t>2026-04-20</t>
  </si>
  <si>
    <t>2026-05-15</t>
  </si>
  <si>
    <t>Completado</t>
  </si>
  <si>
    <t>2026-04-06</t>
  </si>
  <si>
    <t>2026-07-06</t>
  </si>
  <si>
    <t>En progreso</t>
  </si>
  <si>
    <t>2026-04-27</t>
  </si>
  <si>
    <t>2026-05-27</t>
  </si>
  <si>
    <t>2026-04-13</t>
  </si>
  <si>
    <t>2026-07-10</t>
  </si>
  <si>
    <t>2026-07-14</t>
  </si>
  <si>
    <t>2026-05-04</t>
  </si>
  <si>
    <t>2026-07-17</t>
  </si>
  <si>
    <t>2026-07-22</t>
  </si>
  <si>
    <t>Pendiente</t>
  </si>
  <si>
    <t>2026-07-27</t>
  </si>
  <si>
    <t>2026-07-31</t>
  </si>
  <si>
    <t>Censo de Negocios</t>
  </si>
  <si>
    <t>2026-10-03</t>
  </si>
  <si>
    <t>2026-12-05</t>
  </si>
  <si>
    <t>2026-12-25</t>
  </si>
  <si>
    <t>2026-11-21</t>
  </si>
  <si>
    <t>2027-01-02</t>
  </si>
  <si>
    <t>2026-11-30</t>
  </si>
  <si>
    <t>2026-12-19</t>
  </si>
  <si>
    <t>2027-01-30</t>
  </si>
  <si>
    <t>2027-02-19</t>
  </si>
  <si>
    <t>2027-01-23</t>
  </si>
  <si>
    <t>2027-02-28</t>
  </si>
  <si>
    <t>2027-02-01</t>
  </si>
  <si>
    <t>2027-04-01</t>
  </si>
  <si>
    <t>2027-04-22</t>
  </si>
  <si>
    <t>Búsqueda de Bodegas / Predios</t>
  </si>
  <si>
    <t>Expansión / Jurídico</t>
  </si>
  <si>
    <t>2026-07-30</t>
  </si>
  <si>
    <t>2026-08-01</t>
  </si>
  <si>
    <t>2026-10-01</t>
  </si>
  <si>
    <t>2026-08-10</t>
  </si>
  <si>
    <t>2026-11-12</t>
  </si>
  <si>
    <t>2026-09-21</t>
  </si>
  <si>
    <t>2026-12-17</t>
  </si>
  <si>
    <t>2026-10-26</t>
  </si>
  <si>
    <t>2027-01-21</t>
  </si>
  <si>
    <t>2027-02-26</t>
  </si>
  <si>
    <t>2027-01-04</t>
  </si>
  <si>
    <t>2027-03-30</t>
  </si>
  <si>
    <t>2027-02-08</t>
  </si>
  <si>
    <t>2027-05-06</t>
  </si>
  <si>
    <t>2027-03-15</t>
  </si>
  <si>
    <t>2027-06-10</t>
  </si>
  <si>
    <t>2027-04-19</t>
  </si>
  <si>
    <t>2027-05-15</t>
  </si>
  <si>
    <t>2027-07-02</t>
  </si>
  <si>
    <t>Permisos / Anteproyecto</t>
  </si>
  <si>
    <t>Clemente / Pascual</t>
  </si>
  <si>
    <t>Jurídico / Obras</t>
  </si>
  <si>
    <t>2026-10-23</t>
  </si>
  <si>
    <t>2026-11-14</t>
  </si>
  <si>
    <t>2027-02-05</t>
  </si>
  <si>
    <t>2027-01-09</t>
  </si>
  <si>
    <t>2027-03-12</t>
  </si>
  <si>
    <t>2027-04-16</t>
  </si>
  <si>
    <t>2027-05-21</t>
  </si>
  <si>
    <t>2027-06-24</t>
  </si>
  <si>
    <t>2027-05-29</t>
  </si>
  <si>
    <t>2027-05-08</t>
  </si>
  <si>
    <t>2027-07-30</t>
  </si>
  <si>
    <t>2027-07-03</t>
  </si>
  <si>
    <t>2027-06-12</t>
  </si>
  <si>
    <t>2027-09-03</t>
  </si>
  <si>
    <t>2027-08-07</t>
  </si>
  <si>
    <t>2027-07-17</t>
  </si>
  <si>
    <t>Obra Civil / Remodelación</t>
  </si>
  <si>
    <t>Pascual</t>
  </si>
  <si>
    <t>Obras</t>
  </si>
  <si>
    <t>2026-09-27</t>
  </si>
  <si>
    <t>2027-01-15</t>
  </si>
  <si>
    <t>2026-11-28</t>
  </si>
  <si>
    <t>2027-04-30</t>
  </si>
  <si>
    <t>2027-02-14</t>
  </si>
  <si>
    <t>2027-06-04</t>
  </si>
  <si>
    <t>2027-03-18</t>
  </si>
  <si>
    <t>2027-07-08</t>
  </si>
  <si>
    <t>2027-08-12</t>
  </si>
  <si>
    <t>2027-09-17</t>
  </si>
  <si>
    <t>2027-10-22</t>
  </si>
  <si>
    <t>2027-11-26</t>
  </si>
  <si>
    <t>Contratación Personal</t>
  </si>
  <si>
    <t>Juana (R.R.H.H.)</t>
  </si>
  <si>
    <t>R.R.H.H.</t>
  </si>
  <si>
    <t>2026-11-20</t>
  </si>
  <si>
    <t>2026-12-12</t>
  </si>
  <si>
    <t>2027-03-05</t>
  </si>
  <si>
    <t>2027-04-09</t>
  </si>
  <si>
    <t>2027-05-13</t>
  </si>
  <si>
    <t>2027-06-17</t>
  </si>
  <si>
    <t>2027-07-23</t>
  </si>
  <si>
    <t>2027-08-27</t>
  </si>
  <si>
    <t>2027-10-01</t>
  </si>
  <si>
    <t>2027-11-05</t>
  </si>
  <si>
    <t>Capacitación Personal</t>
  </si>
  <si>
    <t>2027-02-07</t>
  </si>
  <si>
    <t>2027-04-02</t>
  </si>
  <si>
    <t>2027-03-04</t>
  </si>
  <si>
    <t>2027-04-29</t>
  </si>
  <si>
    <t>2027-04-08</t>
  </si>
  <si>
    <t>2027-06-03</t>
  </si>
  <si>
    <t>2027-07-09</t>
  </si>
  <si>
    <t>2027-06-19</t>
  </si>
  <si>
    <t>2027-08-13</t>
  </si>
  <si>
    <t>2027-07-24</t>
  </si>
  <si>
    <t>2027-08-28</t>
  </si>
  <si>
    <t>2027-10-02</t>
  </si>
  <si>
    <t>Aperturas</t>
  </si>
  <si>
    <t>Todos</t>
  </si>
  <si>
    <t>Dirección</t>
  </si>
  <si>
    <t>2027-04-15</t>
  </si>
  <si>
    <t>2027-12-11</t>
  </si>
  <si>
    <t>Formato_m2</t>
  </si>
  <si>
    <t>Tipo</t>
  </si>
  <si>
    <t>Promesa_Venta_Mensual</t>
  </si>
  <si>
    <t>Notas</t>
  </si>
  <si>
    <t>Presupuesto_Plan</t>
  </si>
  <si>
    <t>Ejercido</t>
  </si>
  <si>
    <t>Monto_Riesgo_Financiero</t>
  </si>
  <si>
    <t>% Avance Financiero</t>
  </si>
  <si>
    <t>Abierto</t>
  </si>
  <si>
    <t>Inversion</t>
  </si>
  <si>
    <t>Tasa_Anual</t>
  </si>
  <si>
    <t>VAN_8a</t>
  </si>
  <si>
    <t>TIR_Anual_8a</t>
  </si>
  <si>
    <t>Payback_Meses</t>
  </si>
  <si>
    <t>ROI_8a</t>
  </si>
  <si>
    <t>EBITDA_Mensual</t>
  </si>
  <si>
    <t>Id</t>
  </si>
  <si>
    <t>Fecha_Registro</t>
  </si>
  <si>
    <t>Descripción</t>
  </si>
  <si>
    <t>Categoría</t>
  </si>
  <si>
    <t>Probabilidad</t>
  </si>
  <si>
    <t>Impacto</t>
  </si>
  <si>
    <t>Ponderación</t>
  </si>
  <si>
    <t>Estrategia</t>
  </si>
  <si>
    <t>Plan_Respuesta</t>
  </si>
  <si>
    <t>R-01</t>
  </si>
  <si>
    <t>13/07/2026</t>
  </si>
  <si>
    <t>Cambio en la necesidad del formato: la ubicación lejana al CEDIS exige una sucursal de mayor tamaño (mayor inventario en piso) para reducir el costo operativo de reabasto.</t>
  </si>
  <si>
    <t>Riesgo</t>
  </si>
  <si>
    <t>Estratégico</t>
  </si>
  <si>
    <t>Probable</t>
  </si>
  <si>
    <t>Alto</t>
  </si>
  <si>
    <t>Mitigar</t>
  </si>
  <si>
    <t>Evaluar un formato de mayor superficie para Tepexi y su impacto en Capex/Opex de reabasto antes de cerrar predio.</t>
  </si>
  <si>
    <t>Activo</t>
  </si>
  <si>
    <t>Título</t>
  </si>
  <si>
    <t>Fecha</t>
  </si>
  <si>
    <t>Highlight</t>
  </si>
  <si>
    <t>Objetivo pendiente</t>
  </si>
  <si>
    <t>Objetivo siguiente</t>
  </si>
  <si>
    <t>LIBRO ÚNICO DE SALUD DEL PROGRAMA ABA — cómo llenarlo</t>
  </si>
  <si>
    <t>Este archivo es la ÚNICA fuente de datos. Contiene todo el programa en 4 hojas.</t>
  </si>
  <si>
    <t>Las celdas AMARILLAS son las que se capturan; encabezados y fórmulas no se tocan.</t>
  </si>
  <si>
    <t>1) Cronograma_Fase2: una fila por actividad (Sucursal, Fase, fechas Plan/Real,</t>
  </si>
  <si>
    <t xml:space="preserve">   Progreso Real %, Estatus, Comentarios). Es el mismo esquema de siempre.</t>
  </si>
  <si>
    <t xml:space="preserve">   • HITOS: cualquier fila cuya Fase sea 'Aperturas' o 'Documentación BPM' se</t>
  </si>
  <si>
    <t xml:space="preserve">     detecta como hito automáticamente. Para AGREGAR un hito nuevo, basta con</t>
  </si>
  <si>
    <t xml:space="preserve">     capturar filas con esa Fase; si aún no hay fechas, aparece como 'Por programar'.</t>
  </si>
  <si>
    <t>2) Sucursales: catálogo de formato. Formato_m2 (300/150/2000), Tipo y</t>
  </si>
  <si>
    <t xml:space="preserve">   Promesa_Venta_Mensual de referencia (300 m²=2.5 MDP · 150=1 MDP · 2000=8 MDP).</t>
  </si>
  <si>
    <t xml:space="preserve">   El dashboard muestra el formato por tienda y suma la promesa del programa.</t>
  </si>
  <si>
    <t>2) Presupuesto: una fila por sucursal. Variables del informe de salud (PDF):</t>
  </si>
  <si>
    <t xml:space="preserve">   Presupuesto_Plan, Ejercido, % Avance Financiero, Estatus (Abierto/Cerrado) y</t>
  </si>
  <si>
    <t xml:space="preserve">   Monto_Riesgo_Financiero POR SUCURSAL (el dashboard suma el total).</t>
  </si>
  <si>
    <t>3) Corridas_Financieras: métricas de inversión por sucursal —</t>
  </si>
  <si>
    <t xml:space="preserve">   Tasa_Anual, VAN_8a, TIR_Anual_8a, Payback_Meses, ROI_8a, EBITDA_Mensual.</t>
  </si>
  <si>
    <t xml:space="preserve">   El dashboard SUMA lo aditivo (VAN, EBITDA) y para TIR/Payback muestra promedio</t>
  </si>
  <si>
    <t xml:space="preserve">   ponderado, rango y cuántas sucursales superan su hurdle (no son aditivos).</t>
  </si>
  <si>
    <t>4) Riesgos: la fila R-01 es un EJEMPLO — bórrala o sobreescríbela.</t>
  </si>
  <si>
    <t xml:space="preserve">   Probabilidad: Muy probable / Probable / Algo probable / Poco probable.</t>
  </si>
  <si>
    <t xml:space="preserve">   Impacto y Ponderación: Alto / Medio / Bajo.   Estatus: Activo / Cerrado.</t>
  </si>
  <si>
    <t>5) Highlights: puntos clave para presentar. Categoría debe ser una de:</t>
  </si>
  <si>
    <t xml:space="preserve">   'Highlight', 'Objetivo pendiente' u 'Objetivo siguiente'. Las filas de</t>
  </si>
  <si>
    <t xml:space="preserve">   ejemplo se pueden borrar. Se agrupan solas en la pestaña Highlights.</t>
  </si>
  <si>
    <t>Al terminar, vuelve a correr el script para regenerar el dashboard HTML.</t>
  </si>
  <si>
    <t>Los datos quedan incrustados en el HTML; nada viaja a la nube.</t>
  </si>
  <si>
    <t>Tienda Express</t>
  </si>
  <si>
    <t>Tienda F</t>
  </si>
  <si>
    <t>Monto_Riesgo</t>
  </si>
  <si>
    <t>MR-01</t>
  </si>
  <si>
    <t>MR-02</t>
  </si>
  <si>
    <t>Algo probable</t>
  </si>
  <si>
    <t>Medio</t>
  </si>
  <si>
    <t>MR-03</t>
  </si>
  <si>
    <t>MR-04</t>
  </si>
  <si>
    <t>Transferir</t>
  </si>
  <si>
    <t>MR-05</t>
  </si>
  <si>
    <t>Operativo</t>
  </si>
  <si>
    <t>Poco probable</t>
  </si>
  <si>
    <t>Aceptar</t>
  </si>
  <si>
    <t>MR-06</t>
  </si>
  <si>
    <t>Bajo</t>
  </si>
  <si>
    <t>Explotar</t>
  </si>
  <si>
    <t>Mes</t>
  </si>
  <si>
    <t>Concepto</t>
  </si>
  <si>
    <t>Frente</t>
  </si>
  <si>
    <t>Planeado</t>
  </si>
  <si>
    <t>2026-03</t>
  </si>
  <si>
    <t>Nómina</t>
  </si>
  <si>
    <t>Equipo</t>
  </si>
  <si>
    <t>Viáticos comida</t>
  </si>
  <si>
    <t>Viáticos gasolina</t>
  </si>
  <si>
    <t>Viáticos hotel</t>
  </si>
  <si>
    <t>2026-04</t>
  </si>
  <si>
    <t>2026-05</t>
  </si>
  <si>
    <t>2026-06</t>
  </si>
  <si>
    <t>2026-07</t>
  </si>
  <si>
    <t>TOTAL</t>
  </si>
  <si>
    <t>Cómo llenar:</t>
  </si>
  <si>
    <t>• Una fila por Mes x Concepto. Mes en formato AAAA-MM (ej. 2026-03).</t>
  </si>
  <si>
    <t>• Conceptos: Nómina, Viáticos comida, Viáticos gasolina, Viáticos hotel.</t>
  </si>
  <si>
    <t>• Frente: 'Equipo' si es gasto general; o el nombre de la sucursal si es atribuible.</t>
  </si>
  <si>
    <t>• Planeado y Ejercido en pesos. Las celdas amarillas son las que editas.</t>
  </si>
  <si>
    <t>• El dashboard prorratea el mes en curso por día para el 'estimado al corte'.</t>
  </si>
  <si>
    <t>Restricción regulatoria a la venta de cemento (Restricción CEMOC).</t>
  </si>
  <si>
    <t>Definir una ubicación primaria y dos alternas dentro del mismo polígono.</t>
  </si>
  <si>
    <t>Evaluar la capacidad y la ventana de reabasto de los respectivos CEDIS antes de la primera apertura.</t>
  </si>
  <si>
    <t>Falta de contratación de analistas de mercado en el Depto. de Expansión.</t>
  </si>
  <si>
    <t>Evaluación de riesgo por sitio previa a la selección; usarla como criterio de descarte de ubicación y como costo de operación (seguridad).</t>
  </si>
  <si>
    <t>Cambio en la necesidad del formato: la ubicación queda lejos del CEDIS y obliga a una sucursal más grande (más inventario en piso) para bajar el costo de reabasto.</t>
  </si>
  <si>
    <t>Canibalización mayor a la estimada entre las nuevas sucursales y la red existente.</t>
  </si>
  <si>
    <t>No disponibilidad del inmueble o terreno en la ubicación óptima del polígono, o falta de regularización legal del predio.</t>
  </si>
  <si>
    <t>Maduración más lenta de lo previsto: el punto de equilibrio se alcanza después del plazo comprometido.</t>
  </si>
  <si>
    <t>Capacidad del CEDIS insuficiente para abastecer a sucursales adicionales sin inversión logística.</t>
  </si>
  <si>
    <t>Curva de aprendizaje y rotación del personal de tienda en las nuevas sucursales.</t>
  </si>
  <si>
    <t>Dificultad para encontrar personal de tienda con el perfil requerido en la zona de interés.</t>
  </si>
  <si>
    <t>Condiciones de inseguridad en la zona de la sucursal (delincuencia organizada).</t>
  </si>
  <si>
    <t>Incluir el costo de servir (distancia al CEDIS × frecuencia de reabasto × costo de flete) como variable de decisión del formato antes de cerrar planos. Asimismo definir el formato mínimo viable por polígono en función de ese costo, no solo de la venta esperada. Cualquier cambio de formato posterior a la aprobación se escala al Comité por su efecto en el VPN y payback.</t>
  </si>
  <si>
    <t>Medir el traslape de polígonos de influencia antes de autorizar cada ubicación, al igual que fijar un umbral máximo de canibalización como criterio de aprobación; si se excede, reubicar dentro del polígono o descartar el sitio.</t>
  </si>
  <si>
    <t>Verificar restricciones antes de seleccionar la ubicación. Si existen, reconstruir el caso sobre el mercado disponible (varilla y línea complementaria) y ajustar el mix de productos, el formato y la meta de venta de esa unidad.</t>
  </si>
  <si>
    <t>Modelar una rampa de maduración conservadora en el escenario base. Plan comercial de arranque (prospección previa a la apertura) y revisión mensual del avance contra la curva planeada.</t>
  </si>
  <si>
    <t>Capacitación previa a la apertura conforme al alcance del proyecto. Acompañamiento de personal de una tienda cercana durante los primeros meses.</t>
  </si>
  <si>
    <t>Iniciar el reclutamiento con anticipación a cada apertura y definir el perfil por puesto. En zonas con poca disponibilidad de talento, considerar planes de reubicación o incentivos.</t>
  </si>
  <si>
    <t>MR-07</t>
  </si>
  <si>
    <t>MR-08</t>
  </si>
  <si>
    <t>MR-09</t>
  </si>
  <si>
    <t>Post aperturas</t>
  </si>
  <si>
    <t>Todas</t>
  </si>
  <si>
    <t>Mercado y Formato</t>
  </si>
  <si>
    <t>Inmueble</t>
  </si>
  <si>
    <t>Desempeño Financiero</t>
  </si>
  <si>
    <t>Logística y Abasto</t>
  </si>
  <si>
    <t>Headcount</t>
  </si>
  <si>
    <t>Seguridad</t>
  </si>
  <si>
    <t>Roberto Hoyos / Comité directivo</t>
  </si>
  <si>
    <t>MR-10</t>
  </si>
  <si>
    <t>2026-08</t>
  </si>
  <si>
    <t>2026-09</t>
  </si>
  <si>
    <t>2026-10</t>
  </si>
  <si>
    <t>2026-11</t>
  </si>
  <si>
    <t>2026-12</t>
  </si>
  <si>
    <t>2027-01</t>
  </si>
  <si>
    <t>2027-02</t>
  </si>
  <si>
    <t>2027-03</t>
  </si>
  <si>
    <t>2027-04</t>
  </si>
  <si>
    <t>2027-05</t>
  </si>
  <si>
    <t>2027-06</t>
  </si>
  <si>
    <t>2027-07</t>
  </si>
  <si>
    <t>2027-08</t>
  </si>
  <si>
    <t>2027-09</t>
  </si>
  <si>
    <t>2027-10</t>
  </si>
  <si>
    <t>2027-11</t>
  </si>
  <si>
    <t>2027-12</t>
  </si>
  <si>
    <t>2028-01</t>
  </si>
  <si>
    <t>Tepexi</t>
  </si>
  <si>
    <t>Tepexi de Rodriguez, Puebla</t>
  </si>
  <si>
    <t>Lomas II, Puebla</t>
  </si>
  <si>
    <t>Santa María Xonacatepec, Puebla</t>
  </si>
  <si>
    <t>San Luis Teolocholco, Tlaxcala</t>
  </si>
  <si>
    <t>San Martín Texmelucan, Puebla</t>
  </si>
  <si>
    <t>Atlixco, Puebla</t>
  </si>
  <si>
    <t>Tierra Blanca, Veracruz</t>
  </si>
  <si>
    <t>Huamuxtitlán, Guerrero</t>
  </si>
  <si>
    <t>Apizaco, Tlaxcala</t>
  </si>
  <si>
    <t>Ciudad Mendoza, Veracruz</t>
  </si>
  <si>
    <t>Definición de formato sucursal Tepexi</t>
  </si>
  <si>
    <t>Se alineó con dirección el formato de 300 m2</t>
  </si>
  <si>
    <t>Expansión/Comité Directivo</t>
  </si>
  <si>
    <t>Modelo</t>
  </si>
  <si>
    <t>2026-04-22</t>
  </si>
  <si>
    <t>2026-04-24</t>
  </si>
  <si>
    <t>2026-04-29</t>
  </si>
  <si>
    <t>2026-05-01</t>
  </si>
  <si>
    <t>2026-05-06</t>
  </si>
  <si>
    <t>2026-05-08</t>
  </si>
  <si>
    <t>2026-05-11</t>
  </si>
  <si>
    <t>2026-05-02</t>
  </si>
  <si>
    <t>2026-06-08</t>
  </si>
  <si>
    <t>2026-06-27</t>
  </si>
  <si>
    <t>2026-07-25</t>
  </si>
  <si>
    <t>2026-08-03</t>
  </si>
  <si>
    <t>2026-08-29</t>
  </si>
  <si>
    <t>2026-09-07</t>
  </si>
  <si>
    <t>2026-09-26</t>
  </si>
  <si>
    <t>2026-10-05</t>
  </si>
  <si>
    <t>2026-10-24</t>
  </si>
  <si>
    <t>2026-11-02</t>
  </si>
  <si>
    <t>2026-12-28</t>
  </si>
  <si>
    <t>2027-02-20</t>
  </si>
  <si>
    <t>2026-05-30</t>
  </si>
  <si>
    <t>2026-09-12</t>
  </si>
  <si>
    <t>2026-10-17</t>
  </si>
  <si>
    <t>2026-12-26</t>
  </si>
  <si>
    <t>2027-03-06</t>
  </si>
  <si>
    <t>2027-04-10</t>
  </si>
  <si>
    <t>2026-06-01</t>
  </si>
  <si>
    <t>2026-08-22</t>
  </si>
  <si>
    <t>2026-09-14</t>
  </si>
  <si>
    <t>2026-10-19</t>
  </si>
  <si>
    <t>2026-11-23</t>
  </si>
  <si>
    <t>2027-02-13</t>
  </si>
  <si>
    <t>2027-03-20</t>
  </si>
  <si>
    <t>2027-04-24</t>
  </si>
  <si>
    <t>2027-03-08</t>
  </si>
  <si>
    <t>2027-04-12</t>
  </si>
  <si>
    <t>2027-05-17</t>
  </si>
  <si>
    <t>2026-09-28</t>
  </si>
  <si>
    <t>2026-11-09</t>
  </si>
  <si>
    <t>2027-02-27</t>
  </si>
  <si>
    <t>2026-12-14</t>
  </si>
  <si>
    <t>2027-04-03</t>
  </si>
  <si>
    <t>2027-01-18</t>
  </si>
  <si>
    <t>2027-02-22</t>
  </si>
  <si>
    <t>2027-03-29</t>
  </si>
  <si>
    <t>2027-05-03</t>
  </si>
  <si>
    <t>2027-08-21</t>
  </si>
  <si>
    <t>2027-06-07</t>
  </si>
  <si>
    <t>2027-09-25</t>
  </si>
  <si>
    <t>2027-07-12</t>
  </si>
  <si>
    <t>2027-10-30</t>
  </si>
  <si>
    <t>2026-09-19</t>
  </si>
  <si>
    <t>2026-10-12</t>
  </si>
  <si>
    <t>2027-02-06</t>
  </si>
  <si>
    <t>2027-03-13</t>
  </si>
  <si>
    <t>2027-04-17</t>
  </si>
  <si>
    <t>2027-05-22</t>
  </si>
  <si>
    <t>2027-06-26</t>
  </si>
  <si>
    <t>2027-07-31</t>
  </si>
  <si>
    <t>2027-09-04</t>
  </si>
  <si>
    <t>2026-12-07</t>
  </si>
  <si>
    <t>2027-05-24</t>
  </si>
  <si>
    <t>2027-06-28</t>
  </si>
  <si>
    <t>2027-08-02</t>
  </si>
  <si>
    <t>2027-09-06</t>
  </si>
  <si>
    <t>2027-02-15</t>
  </si>
  <si>
    <t>2027-09-05</t>
  </si>
  <si>
    <t>2027-10-11</t>
  </si>
  <si>
    <t>2027-11-15</t>
  </si>
  <si>
    <t>2026-09-01</t>
  </si>
  <si>
    <t>2026-11-01</t>
  </si>
  <si>
    <t>2026-08-12</t>
  </si>
  <si>
    <t>2026-10-14</t>
  </si>
  <si>
    <t>2026-12-11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</si>
</sst>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Red]\-&quot;$&quot;#,##0"/>
    <numFmt numFmtId="44" formatCode="_-&quot;$&quot;* #,##0.00_-;\-&quot;$&quot;* #,##0.00_-;_-&quot;$&quot;* &quot;-&quot;??_-;_-@_-"/>
    <numFmt numFmtId="164" formatCode="\$#,##0"/>
    <numFmt numFmtId="165" formatCode="0.0%"/>
    <numFmt numFmtId="166" formatCode="_-&quot;$&quot;* #,##0_-;\-&quot;$&quot;* #,##0_-;_-&quot;$&quot;* &quot;-&quot;??_-;_-@_-"/>
    <numFmt numFmtId="167" formatCode="yyyy\-mm\-dd;@"/>
  </numFmts>
  <fonts count="12" x14ac:knownFonts="1">
    <font>
      <sz val="11"/>
      <color theme="1"/>
      <name val="Calibri"/>
      <family val="2"/>
      <scheme val="minor"/>
    </font>
    <font>
      <b/>
      <sz val="10"/>
      <color rgb="FFFFFFFF"/>
      <name val="Arial"/>
      <family val="2"/>
    </font>
    <font>
      <sz val="10"/>
      <name val="Arial"/>
      <family val="2"/>
    </font>
    <font>
      <b/>
      <sz val="10"/>
      <name val="Arial"/>
      <family val="2"/>
    </font>
    <font>
      <sz val="11"/>
      <color theme="1"/>
      <name val="Calibri"/>
      <family val="2"/>
      <charset val="1"/>
    </font>
    <font>
      <b/>
      <sz val="11"/>
      <color rgb="FFFFFFFF"/>
      <name val="Arial"/>
      <charset val="1"/>
    </font>
    <font>
      <sz val="10"/>
      <name val="Arial"/>
      <charset val="1"/>
    </font>
    <font>
      <b/>
      <sz val="10"/>
      <name val="Arial"/>
      <charset val="1"/>
    </font>
    <font>
      <b/>
      <sz val="9"/>
      <name val="Arial"/>
      <charset val="1"/>
    </font>
    <font>
      <i/>
      <sz val="9"/>
      <color rgb="FF6B7A90"/>
      <name val="Arial"/>
      <charset val="1"/>
    </font>
    <font>
      <sz val="8"/>
      <name val="Calibri"/>
      <family val="2"/>
      <scheme val="minor"/>
    </font>
    <font>
      <sz val="11"/>
      <color theme="1"/>
      <name val="Calibri"/>
      <family val="2"/>
      <scheme val="minor"/>
    </font>
  </fonts>
  <fills count="7">
    <fill>
      <patternFill patternType="none"/>
    </fill>
    <fill>
      <patternFill patternType="gray125"/>
    </fill>
    <fill>
      <patternFill patternType="solid">
        <fgColor rgb="FF0B2A45"/>
      </patternFill>
    </fill>
    <fill>
      <patternFill patternType="solid">
        <fgColor rgb="FFFFF6CC"/>
      </patternFill>
    </fill>
    <fill>
      <patternFill patternType="solid">
        <fgColor rgb="FF0E68E0"/>
        <bgColor rgb="FF3366FF"/>
      </patternFill>
    </fill>
    <fill>
      <patternFill patternType="solid">
        <fgColor rgb="FFFFF7DA"/>
        <bgColor rgb="FFFFFFFF"/>
      </patternFill>
    </fill>
    <fill>
      <patternFill patternType="solid">
        <fgColor rgb="FFFFFFCC"/>
        <bgColor indexed="64"/>
      </patternFill>
    </fill>
  </fills>
  <borders count="15">
    <border>
      <left/>
      <right/>
      <top/>
      <bottom/>
      <diagonal/>
    </border>
    <border>
      <left style="thin">
        <color rgb="FFD6E0EC"/>
      </left>
      <right style="thin">
        <color rgb="FFD6E0EC"/>
      </right>
      <top style="thin">
        <color rgb="FFD6E0EC"/>
      </top>
      <bottom style="thin">
        <color rgb="FFD6E0EC"/>
      </bottom>
      <diagonal/>
    </border>
    <border>
      <left style="thin">
        <color rgb="FFD6E0EC"/>
      </left>
      <right style="thin">
        <color rgb="FFD6E0EC"/>
      </right>
      <top style="thin">
        <color rgb="FFD6E0EC"/>
      </top>
      <bottom/>
      <diagonal/>
    </border>
    <border>
      <left style="thin">
        <color rgb="FFD6E0EC"/>
      </left>
      <right style="thin">
        <color rgb="FFD6E0EC"/>
      </right>
      <top/>
      <bottom style="thin">
        <color rgb="FFD6E0EC"/>
      </bottom>
      <diagonal/>
    </border>
    <border>
      <left style="medium">
        <color indexed="64"/>
      </left>
      <right style="thin">
        <color rgb="FFD6E0EC"/>
      </right>
      <top style="medium">
        <color indexed="64"/>
      </top>
      <bottom style="thin">
        <color rgb="FFD6E0EC"/>
      </bottom>
      <diagonal/>
    </border>
    <border>
      <left style="thin">
        <color rgb="FFD6E0EC"/>
      </left>
      <right style="thin">
        <color rgb="FFD6E0EC"/>
      </right>
      <top style="medium">
        <color indexed="64"/>
      </top>
      <bottom style="thin">
        <color rgb="FFD6E0EC"/>
      </bottom>
      <diagonal/>
    </border>
    <border>
      <left style="thin">
        <color rgb="FFD6E0EC"/>
      </left>
      <right style="medium">
        <color indexed="64"/>
      </right>
      <top style="medium">
        <color indexed="64"/>
      </top>
      <bottom style="thin">
        <color rgb="FFD6E0EC"/>
      </bottom>
      <diagonal/>
    </border>
    <border>
      <left style="medium">
        <color indexed="64"/>
      </left>
      <right style="thin">
        <color rgb="FFD6E0EC"/>
      </right>
      <top style="thin">
        <color rgb="FFD6E0EC"/>
      </top>
      <bottom style="thin">
        <color rgb="FFD6E0EC"/>
      </bottom>
      <diagonal/>
    </border>
    <border>
      <left style="thin">
        <color rgb="FFD6E0EC"/>
      </left>
      <right style="medium">
        <color indexed="64"/>
      </right>
      <top style="thin">
        <color rgb="FFD6E0EC"/>
      </top>
      <bottom style="thin">
        <color rgb="FFD6E0EC"/>
      </bottom>
      <diagonal/>
    </border>
    <border>
      <left style="medium">
        <color indexed="64"/>
      </left>
      <right style="thin">
        <color rgb="FFD6E0EC"/>
      </right>
      <top style="thin">
        <color rgb="FFD6E0EC"/>
      </top>
      <bottom style="medium">
        <color indexed="64"/>
      </bottom>
      <diagonal/>
    </border>
    <border>
      <left style="thin">
        <color rgb="FFD6E0EC"/>
      </left>
      <right style="thin">
        <color rgb="FFD6E0EC"/>
      </right>
      <top style="thin">
        <color rgb="FFD6E0EC"/>
      </top>
      <bottom style="medium">
        <color indexed="64"/>
      </bottom>
      <diagonal/>
    </border>
    <border>
      <left style="thin">
        <color rgb="FFD6E0EC"/>
      </left>
      <right style="medium">
        <color indexed="64"/>
      </right>
      <top style="thin">
        <color rgb="FFD6E0EC"/>
      </top>
      <bottom style="medium">
        <color indexed="64"/>
      </bottom>
      <diagonal/>
    </border>
    <border>
      <left style="medium">
        <color indexed="64"/>
      </left>
      <right style="thin">
        <color rgb="FFD6E0EC"/>
      </right>
      <top style="thin">
        <color rgb="FFD6E0EC"/>
      </top>
      <bottom/>
      <diagonal/>
    </border>
    <border>
      <left style="thin">
        <color rgb="FFD6E0EC"/>
      </left>
      <right style="medium">
        <color indexed="64"/>
      </right>
      <top style="thin">
        <color rgb="FFD6E0EC"/>
      </top>
      <bottom/>
      <diagonal/>
    </border>
    <border>
      <left style="medium">
        <color indexed="64"/>
      </left>
      <right style="thin">
        <color rgb="FFD6E0EC"/>
      </right>
      <top/>
      <bottom style="thin">
        <color rgb="FFD6E0EC"/>
      </bottom>
      <diagonal/>
    </border>
  </borders>
  <cellStyleXfs count="3">
    <xf numFmtId="0" fontId="0" fillId="0" borderId="0"/>
    <xf numFmtId="0" fontId="4" fillId="0" borderId="0"/>
    <xf numFmtId="44" fontId="11" fillId="0" borderId="0" applyFont="0" applyFill="0" applyBorder="0" applyAlignment="0" applyProtection="0"/>
  </cellStyleXfs>
  <cellXfs count="51">
    <xf numFmtId="0" fontId="0" fillId="0" borderId="0" xfId="0"/>
    <xf numFmtId="0" fontId="1" fillId="2" borderId="0" xfId="0" applyFont="1" applyFill="1" applyAlignment="1">
      <alignment horizontal="center"/>
    </xf>
    <xf numFmtId="0" fontId="2" fillId="0" borderId="0" xfId="0" applyFont="1"/>
    <xf numFmtId="3" fontId="2" fillId="3" borderId="0" xfId="0" applyNumberFormat="1" applyFont="1" applyFill="1"/>
    <xf numFmtId="0" fontId="2" fillId="3" borderId="0" xfId="0" applyFont="1" applyFill="1"/>
    <xf numFmtId="164" fontId="2" fillId="3" borderId="0" xfId="0" applyNumberFormat="1" applyFont="1" applyFill="1"/>
    <xf numFmtId="165" fontId="2" fillId="0" borderId="0" xfId="0" applyNumberFormat="1" applyFont="1"/>
    <xf numFmtId="0" fontId="2" fillId="3" borderId="0" xfId="0" applyFont="1" applyFill="1" applyAlignment="1">
      <alignment horizontal="center"/>
    </xf>
    <xf numFmtId="0" fontId="3" fillId="0" borderId="0" xfId="0" applyFont="1"/>
    <xf numFmtId="0" fontId="5" fillId="4" borderId="1" xfId="1" applyFont="1" applyFill="1" applyBorder="1" applyAlignment="1">
      <alignment horizontal="center" vertical="center"/>
    </xf>
    <xf numFmtId="0" fontId="4" fillId="0" borderId="0" xfId="1"/>
    <xf numFmtId="0" fontId="6" fillId="5" borderId="1" xfId="1" applyFont="1" applyFill="1" applyBorder="1" applyAlignment="1">
      <alignment horizontal="left" vertical="center" wrapText="1"/>
    </xf>
    <xf numFmtId="164" fontId="6" fillId="5" borderId="1" xfId="1" applyNumberFormat="1" applyFont="1" applyFill="1" applyBorder="1" applyAlignment="1">
      <alignment horizontal="right" vertical="center"/>
    </xf>
    <xf numFmtId="0" fontId="7" fillId="0" borderId="0" xfId="1" applyFont="1" applyAlignment="1">
      <alignment horizontal="right"/>
    </xf>
    <xf numFmtId="164" fontId="7" fillId="0" borderId="0" xfId="1" applyNumberFormat="1" applyFont="1" applyAlignment="1">
      <alignment horizontal="right"/>
    </xf>
    <xf numFmtId="0" fontId="8" fillId="0" borderId="0" xfId="1" applyFont="1"/>
    <xf numFmtId="0" fontId="9" fillId="0" borderId="0" xfId="1" applyFont="1"/>
    <xf numFmtId="14" fontId="6" fillId="5" borderId="1" xfId="1" applyNumberFormat="1" applyFont="1" applyFill="1" applyBorder="1" applyAlignment="1">
      <alignment horizontal="left" vertical="center" wrapText="1"/>
    </xf>
    <xf numFmtId="0" fontId="2" fillId="5" borderId="1" xfId="1" applyFont="1" applyFill="1" applyBorder="1" applyAlignment="1">
      <alignment horizontal="left" vertical="center" wrapText="1"/>
    </xf>
    <xf numFmtId="0" fontId="6" fillId="5" borderId="0" xfId="1" applyFont="1" applyFill="1" applyAlignment="1">
      <alignment horizontal="left" vertical="center" wrapText="1"/>
    </xf>
    <xf numFmtId="164" fontId="6" fillId="5" borderId="0" xfId="1" applyNumberFormat="1" applyFont="1" applyFill="1" applyAlignment="1">
      <alignment horizontal="right" vertical="center"/>
    </xf>
    <xf numFmtId="0" fontId="5" fillId="4" borderId="2" xfId="1" applyFont="1" applyFill="1" applyBorder="1" applyAlignment="1">
      <alignment horizontal="center" vertical="center"/>
    </xf>
    <xf numFmtId="0" fontId="6" fillId="5" borderId="3" xfId="1" applyFont="1" applyFill="1" applyBorder="1" applyAlignment="1">
      <alignment horizontal="left" vertical="center" wrapText="1"/>
    </xf>
    <xf numFmtId="164" fontId="6" fillId="5" borderId="3" xfId="1" applyNumberFormat="1" applyFont="1" applyFill="1" applyBorder="1" applyAlignment="1">
      <alignment horizontal="right" vertical="center"/>
    </xf>
    <xf numFmtId="0" fontId="6" fillId="5" borderId="4" xfId="1" applyFont="1" applyFill="1" applyBorder="1" applyAlignment="1">
      <alignment horizontal="left" vertical="center" wrapText="1"/>
    </xf>
    <xf numFmtId="0" fontId="6" fillId="5" borderId="5" xfId="1" applyFont="1" applyFill="1" applyBorder="1" applyAlignment="1">
      <alignment horizontal="left" vertical="center" wrapText="1"/>
    </xf>
    <xf numFmtId="164" fontId="6" fillId="5" borderId="5" xfId="1" applyNumberFormat="1" applyFont="1" applyFill="1" applyBorder="1" applyAlignment="1">
      <alignment horizontal="right" vertical="center"/>
    </xf>
    <xf numFmtId="0" fontId="6" fillId="5" borderId="6" xfId="1" applyFont="1" applyFill="1" applyBorder="1" applyAlignment="1">
      <alignment horizontal="left" vertical="center" wrapText="1"/>
    </xf>
    <xf numFmtId="0" fontId="6" fillId="5" borderId="7" xfId="1" applyFont="1" applyFill="1" applyBorder="1" applyAlignment="1">
      <alignment horizontal="left" vertical="center" wrapText="1"/>
    </xf>
    <xf numFmtId="0" fontId="6" fillId="5" borderId="8" xfId="1" applyFont="1" applyFill="1" applyBorder="1" applyAlignment="1">
      <alignment horizontal="left" vertical="center" wrapText="1"/>
    </xf>
    <xf numFmtId="0" fontId="2" fillId="5" borderId="7" xfId="1" applyFont="1" applyFill="1" applyBorder="1" applyAlignment="1">
      <alignment horizontal="left" vertical="center" wrapText="1"/>
    </xf>
    <xf numFmtId="0" fontId="2" fillId="5" borderId="9" xfId="1" applyFont="1" applyFill="1" applyBorder="1" applyAlignment="1">
      <alignment horizontal="left" vertical="center" wrapText="1"/>
    </xf>
    <xf numFmtId="0" fontId="6" fillId="5" borderId="10" xfId="1" applyFont="1" applyFill="1" applyBorder="1" applyAlignment="1">
      <alignment horizontal="left" vertical="center" wrapText="1"/>
    </xf>
    <xf numFmtId="164" fontId="6" fillId="5" borderId="10" xfId="1" applyNumberFormat="1" applyFont="1" applyFill="1" applyBorder="1" applyAlignment="1">
      <alignment horizontal="right" vertical="center"/>
    </xf>
    <xf numFmtId="0" fontId="6" fillId="5" borderId="11" xfId="1" applyFont="1" applyFill="1" applyBorder="1" applyAlignment="1">
      <alignment horizontal="left" vertical="center" wrapText="1"/>
    </xf>
    <xf numFmtId="0" fontId="2" fillId="5" borderId="12" xfId="1" applyFont="1" applyFill="1" applyBorder="1" applyAlignment="1">
      <alignment horizontal="left" vertical="center" wrapText="1"/>
    </xf>
    <xf numFmtId="0" fontId="6" fillId="5" borderId="2" xfId="1" applyFont="1" applyFill="1" applyBorder="1" applyAlignment="1">
      <alignment horizontal="left" vertical="center" wrapText="1"/>
    </xf>
    <xf numFmtId="0" fontId="6" fillId="5" borderId="13" xfId="1" applyFont="1" applyFill="1" applyBorder="1" applyAlignment="1">
      <alignment horizontal="left" vertical="center" wrapText="1"/>
    </xf>
    <xf numFmtId="0" fontId="6" fillId="5" borderId="14" xfId="1" applyFont="1" applyFill="1" applyBorder="1" applyAlignment="1">
      <alignment horizontal="left" vertical="center" wrapText="1"/>
    </xf>
    <xf numFmtId="14" fontId="2" fillId="3" borderId="0" xfId="0" applyNumberFormat="1" applyFont="1" applyFill="1"/>
    <xf numFmtId="166" fontId="0" fillId="0" borderId="0" xfId="0" applyNumberFormat="1"/>
    <xf numFmtId="166" fontId="0" fillId="0" borderId="0" xfId="2" applyNumberFormat="1" applyFont="1"/>
    <xf numFmtId="166" fontId="0" fillId="0" borderId="0" xfId="2" applyNumberFormat="1" applyFont="1" applyBorder="1"/>
    <xf numFmtId="6" fontId="0" fillId="0" borderId="0" xfId="0" applyNumberFormat="1" applyAlignment="1">
      <alignment horizontal="center" vertical="center"/>
    </xf>
    <xf numFmtId="9" fontId="0" fillId="6" borderId="0" xfId="0" applyNumberFormat="1" applyFill="1" applyAlignment="1">
      <alignment horizontal="center" vertical="center"/>
    </xf>
    <xf numFmtId="6" fontId="0" fillId="0" borderId="0" xfId="0" applyNumberFormat="1" applyAlignment="1">
      <alignment horizontal="center"/>
    </xf>
    <xf numFmtId="165" fontId="0" fillId="0" borderId="0" xfId="0" applyNumberFormat="1" applyAlignment="1">
      <alignment horizontal="center" vertical="center"/>
    </xf>
    <xf numFmtId="0" fontId="0" fillId="0" borderId="0" xfId="0" applyAlignment="1">
      <alignment horizontal="center" vertical="center"/>
    </xf>
    <xf numFmtId="2" fontId="0" fillId="0" borderId="0" xfId="0" applyNumberFormat="1" applyAlignment="1">
      <alignment horizontal="center" vertical="center"/>
    </xf>
    <xf numFmtId="167" fontId="0" fillId="0" borderId="0" xfId="0" applyNumberFormat="1" applyAlignment="1">
      <alignment horizontal="left"/>
    </xf>
    <xf numFmtId="0" fontId="0" fillId="0" borderId="0" xfId="0" applyAlignment="1">
      <alignment horizontal="left"/>
    </xf>
  </cellXfs>
  <cellStyles count="3">
    <cellStyle name="Currency" xfId="2" builtinId="4"/>
    <cellStyle name="Normal" xfId="0" builtinId="0"/>
    <cellStyle name="Normal 2" xfId="1" xr:uid="{D51A4EDD-18EB-43C6-B264-C6BC7E3E088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Daniel Reynaga Gil" id="{5EE492C3-2BA9-481D-853B-D2CA13744084}" userId="S::daniel.reynaga@abacentro.com.mx::b82ccee7-e058-4b5b-8eab-b91957e7ec2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7" dT="2026-07-20T17:23:50.56" personId="{5EE492C3-2BA9-481D-853B-D2CA13744084}" id="{86C7F4C4-105F-4778-82B1-142F8FBEFA0D}">
    <text xml:space="preserve">Teórico + gestor
</text>
  </threadedComment>
  <threadedComment ref="D8" dT="2026-07-20T17:23:50.56" personId="{5EE492C3-2BA9-481D-853B-D2CA13744084}" id="{C1DFFD39-367E-44C6-8B6A-E05F434AFC92}">
    <text xml:space="preserve">Teórico + gestor
</text>
  </threadedComment>
  <threadedComment ref="D9" dT="2026-07-20T17:23:50.56" personId="{5EE492C3-2BA9-481D-853B-D2CA13744084}" id="{2A69CF82-F468-4298-A0C2-CA79E7331707}">
    <text xml:space="preserve">Teórico + gestor
</text>
  </threadedComment>
  <threadedComment ref="D10" dT="2026-07-20T17:23:50.56" personId="{5EE492C3-2BA9-481D-853B-D2CA13744084}" id="{8807B4CF-11F0-47B0-97E5-FF83270F4D42}">
    <text xml:space="preserve">Teórico + gestor
</text>
  </threadedComment>
  <threadedComment ref="D11" dT="2026-07-20T17:23:50.56" personId="{5EE492C3-2BA9-481D-853B-D2CA13744084}" id="{25545304-1A28-4996-A8EE-82388D46CEC9}">
    <text xml:space="preserve">Teórico + gestor
</text>
  </threadedComment>
  <threadedComment ref="D12" dT="2026-07-20T17:23:50.56" personId="{5EE492C3-2BA9-481D-853B-D2CA13744084}" id="{4F37E8B4-A543-49AC-B4DC-E88686C92D60}">
    <text xml:space="preserve">Teórico + gestor
</text>
  </threadedComment>
  <threadedComment ref="D13" dT="2026-07-20T17:23:50.56" personId="{5EE492C3-2BA9-481D-853B-D2CA13744084}" id="{34CB1C54-C732-4475-AAD6-EA2B4C099077}">
    <text xml:space="preserve">Teórico + gestor
</text>
  </threadedComment>
  <threadedComment ref="D14" dT="2026-07-20T17:23:50.56" personId="{5EE492C3-2BA9-481D-853B-D2CA13744084}" id="{F7813E30-7E1D-430D-AE3D-EE9054CEA357}">
    <text xml:space="preserve">Teórico + gestor
</text>
  </threadedComment>
  <threadedComment ref="D15" dT="2026-07-20T17:23:50.56" personId="{5EE492C3-2BA9-481D-853B-D2CA13744084}" id="{503CB226-2BEC-4893-8129-939270384934}">
    <text xml:space="preserve">Teórico + gestor
</text>
  </threadedComment>
  <threadedComment ref="D16" dT="2026-07-20T17:23:50.56" personId="{5EE492C3-2BA9-481D-853B-D2CA13744084}" id="{ED7AFE7D-EA8E-4717-999D-0932951DD5FA}">
    <text xml:space="preserve">Teórico + gestor
</text>
  </threadedComment>
  <threadedComment ref="D17" dT="2026-07-20T17:23:50.56" personId="{5EE492C3-2BA9-481D-853B-D2CA13744084}" id="{9E1C17B7-584B-45E9-A62E-CBD183DAE600}">
    <text xml:space="preserve">Teórico + gestor
</text>
  </threadedComment>
  <threadedComment ref="D18" dT="2026-07-20T17:23:50.56" personId="{5EE492C3-2BA9-481D-853B-D2CA13744084}" id="{CCDE92F1-D0B7-4B38-856C-36CBD364D71B}">
    <text xml:space="preserve">Teórico + gestor
</text>
  </threadedComment>
  <threadedComment ref="D19" dT="2026-07-20T17:23:50.56" personId="{5EE492C3-2BA9-481D-853B-D2CA13744084}" id="{61DF921F-C5A9-4E0D-A45E-A0077C134FFD}">
    <text xml:space="preserve">Teórico + gestor
</text>
  </threadedComment>
  <threadedComment ref="D20" dT="2026-07-20T17:23:50.56" personId="{5EE492C3-2BA9-481D-853B-D2CA13744084}" id="{3FF560B1-8B41-4B57-AEED-907AE6229E74}">
    <text xml:space="preserve">Teórico + gestor
</text>
  </threadedComment>
  <threadedComment ref="D21" dT="2026-07-20T17:23:50.56" personId="{5EE492C3-2BA9-481D-853B-D2CA13744084}" id="{7BCD6525-B2EC-4FDE-8525-946F10EB714B}">
    <text xml:space="preserve">Teórico + gestor
</text>
  </threadedComment>
  <threadedComment ref="D22" dT="2026-07-20T17:23:50.56" personId="{5EE492C3-2BA9-481D-853B-D2CA13744084}" id="{BEE41C2C-2BC7-4AAF-9208-3BBAF0EE97E5}">
    <text xml:space="preserve">Teórico + gestor
</text>
  </threadedComment>
  <threadedComment ref="D23" dT="2026-07-20T17:23:50.56" personId="{5EE492C3-2BA9-481D-853B-D2CA13744084}" id="{7E21DC0C-E630-42C7-B359-6F262740F375}">
    <text xml:space="preserve">Teórico + gestor
</text>
  </threadedComment>
  <threadedComment ref="D24" dT="2026-07-20T17:23:50.56" personId="{5EE492C3-2BA9-481D-853B-D2CA13744084}" id="{B9698BB4-EAAC-4A72-A297-4461D5E46989}">
    <text xml:space="preserve">Teórico + gestor
</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1"/>
  <sheetViews>
    <sheetView tabSelected="1" workbookViewId="0">
      <selection activeCell="I28" sqref="I28"/>
    </sheetView>
  </sheetViews>
  <sheetFormatPr defaultRowHeight="14.4" x14ac:dyDescent="0.3"/>
  <cols>
    <col min="1" max="1" width="47.21875" customWidth="1"/>
    <col min="2" max="2" width="22" customWidth="1"/>
    <col min="3" max="3" width="18" customWidth="1"/>
    <col min="4" max="4" width="14" customWidth="1"/>
    <col min="5" max="8" width="13" customWidth="1"/>
    <col min="9" max="9" width="14" customWidth="1"/>
    <col min="10" max="10" width="13" customWidth="1"/>
    <col min="11" max="11" width="34"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290</v>
      </c>
      <c r="B2" t="s">
        <v>12</v>
      </c>
      <c r="C2" t="s">
        <v>13</v>
      </c>
      <c r="D2" t="s">
        <v>14</v>
      </c>
      <c r="E2" s="49" t="s">
        <v>15</v>
      </c>
      <c r="F2" s="49" t="s">
        <v>17</v>
      </c>
      <c r="G2" s="49" t="s">
        <v>15</v>
      </c>
      <c r="H2" s="49" t="s">
        <v>17</v>
      </c>
      <c r="I2">
        <v>100</v>
      </c>
      <c r="J2" t="s">
        <v>18</v>
      </c>
    </row>
    <row r="3" spans="1:11" x14ac:dyDescent="0.3">
      <c r="A3" t="s">
        <v>290</v>
      </c>
      <c r="B3" t="s">
        <v>33</v>
      </c>
      <c r="C3" t="s">
        <v>13</v>
      </c>
      <c r="D3" t="s">
        <v>14</v>
      </c>
      <c r="E3" s="50" t="s">
        <v>27</v>
      </c>
      <c r="F3" s="50" t="s">
        <v>50</v>
      </c>
      <c r="G3" s="50" t="s">
        <v>27</v>
      </c>
      <c r="H3" s="50" t="s">
        <v>50</v>
      </c>
      <c r="I3">
        <v>100</v>
      </c>
      <c r="J3" t="s">
        <v>18</v>
      </c>
    </row>
    <row r="4" spans="1:11" x14ac:dyDescent="0.3">
      <c r="A4" t="s">
        <v>290</v>
      </c>
      <c r="B4" t="s">
        <v>48</v>
      </c>
      <c r="C4" t="s">
        <v>13</v>
      </c>
      <c r="D4" t="s">
        <v>49</v>
      </c>
      <c r="E4" t="s">
        <v>27</v>
      </c>
      <c r="F4" t="s">
        <v>50</v>
      </c>
      <c r="G4" t="s">
        <v>27</v>
      </c>
      <c r="H4" t="s">
        <v>50</v>
      </c>
      <c r="I4">
        <v>80</v>
      </c>
      <c r="J4" t="s">
        <v>21</v>
      </c>
    </row>
    <row r="5" spans="1:11" x14ac:dyDescent="0.3">
      <c r="A5" t="s">
        <v>290</v>
      </c>
      <c r="B5" t="s">
        <v>69</v>
      </c>
      <c r="C5" t="s">
        <v>70</v>
      </c>
      <c r="D5" t="s">
        <v>71</v>
      </c>
      <c r="E5" s="49" t="s">
        <v>372</v>
      </c>
      <c r="F5" s="49" t="s">
        <v>373</v>
      </c>
      <c r="G5" s="49" t="s">
        <v>372</v>
      </c>
      <c r="H5" s="49" t="s">
        <v>373</v>
      </c>
      <c r="I5">
        <v>0</v>
      </c>
      <c r="J5" t="s">
        <v>30</v>
      </c>
    </row>
    <row r="6" spans="1:11" x14ac:dyDescent="0.3">
      <c r="A6" t="s">
        <v>290</v>
      </c>
      <c r="B6" t="s">
        <v>88</v>
      </c>
      <c r="C6" t="s">
        <v>89</v>
      </c>
      <c r="D6" t="s">
        <v>90</v>
      </c>
      <c r="E6" s="49" t="s">
        <v>355</v>
      </c>
      <c r="F6" s="49" t="s">
        <v>39</v>
      </c>
      <c r="G6" s="49" t="s">
        <v>355</v>
      </c>
      <c r="H6" s="49" t="s">
        <v>39</v>
      </c>
      <c r="I6">
        <v>0</v>
      </c>
      <c r="J6" t="s">
        <v>30</v>
      </c>
    </row>
    <row r="7" spans="1:11" x14ac:dyDescent="0.3">
      <c r="A7" t="s">
        <v>290</v>
      </c>
      <c r="B7" t="s">
        <v>103</v>
      </c>
      <c r="C7" t="s">
        <v>104</v>
      </c>
      <c r="D7" t="s">
        <v>105</v>
      </c>
      <c r="E7" s="49" t="s">
        <v>374</v>
      </c>
      <c r="F7" s="49" t="s">
        <v>355</v>
      </c>
      <c r="G7" s="49" t="s">
        <v>374</v>
      </c>
      <c r="H7" s="49" t="s">
        <v>355</v>
      </c>
      <c r="I7">
        <v>0</v>
      </c>
      <c r="J7" t="s">
        <v>30</v>
      </c>
    </row>
    <row r="8" spans="1:11" x14ac:dyDescent="0.3">
      <c r="A8" t="s">
        <v>290</v>
      </c>
      <c r="B8" t="s">
        <v>116</v>
      </c>
      <c r="C8" t="s">
        <v>104</v>
      </c>
      <c r="D8" t="s">
        <v>105</v>
      </c>
      <c r="E8" s="49" t="s">
        <v>375</v>
      </c>
      <c r="F8" s="49" t="s">
        <v>376</v>
      </c>
      <c r="G8" s="49" t="s">
        <v>375</v>
      </c>
      <c r="H8" s="49" t="s">
        <v>376</v>
      </c>
      <c r="I8">
        <v>0</v>
      </c>
      <c r="J8" t="s">
        <v>30</v>
      </c>
    </row>
    <row r="9" spans="1:11" x14ac:dyDescent="0.3">
      <c r="A9" t="s">
        <v>290</v>
      </c>
      <c r="B9" t="s">
        <v>129</v>
      </c>
      <c r="C9" t="s">
        <v>130</v>
      </c>
      <c r="D9" t="s">
        <v>131</v>
      </c>
      <c r="E9" s="49" t="s">
        <v>343</v>
      </c>
      <c r="F9" s="49" t="s">
        <v>343</v>
      </c>
      <c r="G9" s="49" t="s">
        <v>343</v>
      </c>
      <c r="H9" s="49" t="s">
        <v>343</v>
      </c>
      <c r="I9">
        <v>0</v>
      </c>
      <c r="J9" t="s">
        <v>30</v>
      </c>
    </row>
    <row r="10" spans="1:11" x14ac:dyDescent="0.3">
      <c r="A10" t="s">
        <v>289</v>
      </c>
      <c r="B10" t="s">
        <v>12</v>
      </c>
      <c r="C10" t="s">
        <v>13</v>
      </c>
      <c r="D10" t="s">
        <v>14</v>
      </c>
      <c r="E10" s="49" t="s">
        <v>15</v>
      </c>
      <c r="F10" s="49" t="s">
        <v>17</v>
      </c>
      <c r="G10" s="49" t="s">
        <v>15</v>
      </c>
      <c r="H10" s="49" t="s">
        <v>17</v>
      </c>
      <c r="I10">
        <v>100</v>
      </c>
      <c r="J10" t="s">
        <v>18</v>
      </c>
    </row>
    <row r="11" spans="1:11" x14ac:dyDescent="0.3">
      <c r="A11" t="s">
        <v>289</v>
      </c>
      <c r="B11" t="s">
        <v>33</v>
      </c>
      <c r="C11" t="s">
        <v>13</v>
      </c>
      <c r="D11" t="s">
        <v>14</v>
      </c>
      <c r="E11" s="50" t="s">
        <v>20</v>
      </c>
      <c r="F11" s="50" t="s">
        <v>52</v>
      </c>
      <c r="G11" s="50" t="s">
        <v>20</v>
      </c>
      <c r="H11" s="50" t="s">
        <v>52</v>
      </c>
      <c r="I11">
        <v>100</v>
      </c>
      <c r="J11" t="s">
        <v>18</v>
      </c>
    </row>
    <row r="12" spans="1:11" x14ac:dyDescent="0.3">
      <c r="A12" t="s">
        <v>289</v>
      </c>
      <c r="B12" t="s">
        <v>48</v>
      </c>
      <c r="C12" t="s">
        <v>13</v>
      </c>
      <c r="D12" t="s">
        <v>49</v>
      </c>
      <c r="E12" t="s">
        <v>20</v>
      </c>
      <c r="F12" t="s">
        <v>52</v>
      </c>
      <c r="G12" t="s">
        <v>20</v>
      </c>
      <c r="H12" t="s">
        <v>52</v>
      </c>
      <c r="I12">
        <v>80</v>
      </c>
      <c r="J12" t="s">
        <v>21</v>
      </c>
    </row>
    <row r="13" spans="1:11" x14ac:dyDescent="0.3">
      <c r="A13" t="s">
        <v>289</v>
      </c>
      <c r="B13" t="s">
        <v>69</v>
      </c>
      <c r="C13" t="s">
        <v>70</v>
      </c>
      <c r="D13" t="s">
        <v>71</v>
      </c>
      <c r="E13" s="49" t="s">
        <v>51</v>
      </c>
      <c r="F13" s="49" t="s">
        <v>72</v>
      </c>
      <c r="G13" s="49" t="s">
        <v>51</v>
      </c>
      <c r="H13" s="49" t="s">
        <v>72</v>
      </c>
      <c r="I13">
        <v>0</v>
      </c>
      <c r="J13" t="s">
        <v>30</v>
      </c>
    </row>
    <row r="14" spans="1:11" x14ac:dyDescent="0.3">
      <c r="A14" t="s">
        <v>289</v>
      </c>
      <c r="B14" t="s">
        <v>88</v>
      </c>
      <c r="C14" t="s">
        <v>89</v>
      </c>
      <c r="D14" t="s">
        <v>90</v>
      </c>
      <c r="E14" s="49" t="s">
        <v>91</v>
      </c>
      <c r="F14" s="49" t="s">
        <v>92</v>
      </c>
      <c r="G14" s="49" t="s">
        <v>91</v>
      </c>
      <c r="H14" s="49" t="s">
        <v>92</v>
      </c>
      <c r="I14">
        <v>0</v>
      </c>
      <c r="J14" t="s">
        <v>30</v>
      </c>
    </row>
    <row r="15" spans="1:11" x14ac:dyDescent="0.3">
      <c r="A15" t="s">
        <v>289</v>
      </c>
      <c r="B15" t="s">
        <v>103</v>
      </c>
      <c r="C15" t="s">
        <v>104</v>
      </c>
      <c r="D15" t="s">
        <v>105</v>
      </c>
      <c r="E15" s="49" t="s">
        <v>91</v>
      </c>
      <c r="F15" s="49" t="s">
        <v>106</v>
      </c>
      <c r="G15" s="49" t="s">
        <v>91</v>
      </c>
      <c r="H15" s="49" t="s">
        <v>106</v>
      </c>
      <c r="I15">
        <v>0</v>
      </c>
      <c r="J15" t="s">
        <v>30</v>
      </c>
    </row>
    <row r="16" spans="1:11" x14ac:dyDescent="0.3">
      <c r="A16" t="s">
        <v>289</v>
      </c>
      <c r="B16" t="s">
        <v>116</v>
      </c>
      <c r="C16" t="s">
        <v>104</v>
      </c>
      <c r="D16" t="s">
        <v>105</v>
      </c>
      <c r="E16" s="49" t="s">
        <v>37</v>
      </c>
      <c r="F16" s="49" t="s">
        <v>92</v>
      </c>
      <c r="G16" s="49" t="s">
        <v>37</v>
      </c>
      <c r="H16" s="49" t="s">
        <v>92</v>
      </c>
      <c r="I16">
        <v>0</v>
      </c>
      <c r="J16" t="s">
        <v>30</v>
      </c>
    </row>
    <row r="17" spans="1:10" x14ac:dyDescent="0.3">
      <c r="A17" t="s">
        <v>289</v>
      </c>
      <c r="B17" t="s">
        <v>129</v>
      </c>
      <c r="C17" t="s">
        <v>130</v>
      </c>
      <c r="D17" t="s">
        <v>131</v>
      </c>
      <c r="E17" s="49" t="s">
        <v>45</v>
      </c>
      <c r="F17" s="49" t="s">
        <v>45</v>
      </c>
      <c r="G17" s="49" t="s">
        <v>45</v>
      </c>
      <c r="H17" s="49" t="s">
        <v>45</v>
      </c>
      <c r="I17">
        <v>0</v>
      </c>
      <c r="J17" t="s">
        <v>30</v>
      </c>
    </row>
    <row r="18" spans="1:10" x14ac:dyDescent="0.3">
      <c r="A18" t="s">
        <v>292</v>
      </c>
      <c r="B18" t="s">
        <v>12</v>
      </c>
      <c r="C18" t="s">
        <v>13</v>
      </c>
      <c r="D18" t="s">
        <v>14</v>
      </c>
      <c r="E18" s="49" t="s">
        <v>19</v>
      </c>
      <c r="F18" s="49" t="s">
        <v>20</v>
      </c>
      <c r="G18" s="49" t="s">
        <v>19</v>
      </c>
      <c r="H18" s="49" t="s">
        <v>20</v>
      </c>
      <c r="I18">
        <v>100</v>
      </c>
      <c r="J18" t="s">
        <v>21</v>
      </c>
    </row>
    <row r="19" spans="1:10" x14ac:dyDescent="0.3">
      <c r="A19" t="s">
        <v>292</v>
      </c>
      <c r="B19" t="s">
        <v>33</v>
      </c>
      <c r="C19" t="s">
        <v>13</v>
      </c>
      <c r="D19" t="s">
        <v>14</v>
      </c>
      <c r="E19" s="50" t="s">
        <v>53</v>
      </c>
      <c r="F19" s="50" t="s">
        <v>54</v>
      </c>
      <c r="G19" s="50" t="s">
        <v>53</v>
      </c>
      <c r="H19" s="50" t="s">
        <v>54</v>
      </c>
      <c r="I19">
        <v>100</v>
      </c>
      <c r="J19" t="s">
        <v>21</v>
      </c>
    </row>
    <row r="20" spans="1:10" x14ac:dyDescent="0.3">
      <c r="A20" t="s">
        <v>292</v>
      </c>
      <c r="B20" t="s">
        <v>48</v>
      </c>
      <c r="C20" t="s">
        <v>13</v>
      </c>
      <c r="D20" t="s">
        <v>49</v>
      </c>
      <c r="E20" t="s">
        <v>53</v>
      </c>
      <c r="F20" t="s">
        <v>54</v>
      </c>
      <c r="G20" t="s">
        <v>53</v>
      </c>
      <c r="H20" t="s">
        <v>54</v>
      </c>
      <c r="I20">
        <v>50</v>
      </c>
      <c r="J20" t="s">
        <v>21</v>
      </c>
    </row>
    <row r="21" spans="1:10" x14ac:dyDescent="0.3">
      <c r="A21" t="s">
        <v>292</v>
      </c>
      <c r="B21" t="s">
        <v>69</v>
      </c>
      <c r="C21" t="s">
        <v>70</v>
      </c>
      <c r="D21" t="s">
        <v>71</v>
      </c>
      <c r="E21" s="49" t="s">
        <v>34</v>
      </c>
      <c r="F21" s="49" t="s">
        <v>36</v>
      </c>
      <c r="G21" s="49" t="s">
        <v>34</v>
      </c>
      <c r="H21" s="49" t="s">
        <v>36</v>
      </c>
      <c r="I21">
        <v>0</v>
      </c>
      <c r="J21" t="s">
        <v>30</v>
      </c>
    </row>
    <row r="22" spans="1:10" x14ac:dyDescent="0.3">
      <c r="A22" t="s">
        <v>292</v>
      </c>
      <c r="B22" t="s">
        <v>88</v>
      </c>
      <c r="C22" t="s">
        <v>89</v>
      </c>
      <c r="D22" t="s">
        <v>90</v>
      </c>
      <c r="E22" s="49" t="s">
        <v>93</v>
      </c>
      <c r="F22" s="49" t="s">
        <v>42</v>
      </c>
      <c r="G22" s="49" t="s">
        <v>93</v>
      </c>
      <c r="H22" s="49" t="s">
        <v>42</v>
      </c>
      <c r="I22">
        <v>0</v>
      </c>
      <c r="J22" t="s">
        <v>30</v>
      </c>
    </row>
    <row r="23" spans="1:10" x14ac:dyDescent="0.3">
      <c r="A23" t="s">
        <v>292</v>
      </c>
      <c r="B23" t="s">
        <v>103</v>
      </c>
      <c r="C23" t="s">
        <v>104</v>
      </c>
      <c r="D23" t="s">
        <v>105</v>
      </c>
      <c r="E23" s="49" t="s">
        <v>107</v>
      </c>
      <c r="F23" s="49" t="s">
        <v>74</v>
      </c>
      <c r="G23" s="49" t="s">
        <v>107</v>
      </c>
      <c r="H23" s="49" t="s">
        <v>74</v>
      </c>
      <c r="I23">
        <v>0</v>
      </c>
      <c r="J23" t="s">
        <v>30</v>
      </c>
    </row>
    <row r="24" spans="1:10" x14ac:dyDescent="0.3">
      <c r="A24" t="s">
        <v>292</v>
      </c>
      <c r="B24" t="s">
        <v>116</v>
      </c>
      <c r="C24" t="s">
        <v>104</v>
      </c>
      <c r="D24" t="s">
        <v>105</v>
      </c>
      <c r="E24" s="49" t="s">
        <v>117</v>
      </c>
      <c r="F24" s="49" t="s">
        <v>118</v>
      </c>
      <c r="G24" s="49" t="s">
        <v>117</v>
      </c>
      <c r="H24" s="49" t="s">
        <v>118</v>
      </c>
      <c r="I24">
        <v>0</v>
      </c>
      <c r="J24" t="s">
        <v>30</v>
      </c>
    </row>
    <row r="25" spans="1:10" x14ac:dyDescent="0.3">
      <c r="A25" t="s">
        <v>292</v>
      </c>
      <c r="B25" t="s">
        <v>129</v>
      </c>
      <c r="C25" t="s">
        <v>130</v>
      </c>
      <c r="D25" t="s">
        <v>131</v>
      </c>
      <c r="E25" s="49" t="s">
        <v>132</v>
      </c>
      <c r="F25" s="49" t="s">
        <v>132</v>
      </c>
      <c r="G25" s="49" t="s">
        <v>132</v>
      </c>
      <c r="H25" s="49" t="s">
        <v>132</v>
      </c>
      <c r="I25">
        <v>0</v>
      </c>
      <c r="J25" t="s">
        <v>30</v>
      </c>
    </row>
    <row r="26" spans="1:10" x14ac:dyDescent="0.3">
      <c r="A26" t="s">
        <v>295</v>
      </c>
      <c r="B26" t="s">
        <v>12</v>
      </c>
      <c r="C26" t="s">
        <v>13</v>
      </c>
      <c r="D26" t="s">
        <v>14</v>
      </c>
      <c r="E26" s="49" t="s">
        <v>19</v>
      </c>
      <c r="F26" s="49" t="s">
        <v>23</v>
      </c>
      <c r="G26" s="49" t="s">
        <v>19</v>
      </c>
      <c r="H26" s="49" t="s">
        <v>23</v>
      </c>
      <c r="I26">
        <v>100</v>
      </c>
      <c r="J26" t="s">
        <v>18</v>
      </c>
    </row>
    <row r="27" spans="1:10" x14ac:dyDescent="0.3">
      <c r="A27" t="s">
        <v>295</v>
      </c>
      <c r="B27" t="s">
        <v>33</v>
      </c>
      <c r="C27" t="s">
        <v>13</v>
      </c>
      <c r="D27" t="s">
        <v>14</v>
      </c>
      <c r="E27" s="50" t="s">
        <v>55</v>
      </c>
      <c r="F27" s="50" t="s">
        <v>56</v>
      </c>
      <c r="G27" s="50" t="s">
        <v>55</v>
      </c>
      <c r="H27" s="50" t="s">
        <v>56</v>
      </c>
      <c r="I27">
        <v>10</v>
      </c>
      <c r="J27" t="s">
        <v>30</v>
      </c>
    </row>
    <row r="28" spans="1:10" x14ac:dyDescent="0.3">
      <c r="A28" t="s">
        <v>295</v>
      </c>
      <c r="B28" t="s">
        <v>48</v>
      </c>
      <c r="C28" t="s">
        <v>13</v>
      </c>
      <c r="D28" t="s">
        <v>49</v>
      </c>
      <c r="E28" t="s">
        <v>55</v>
      </c>
      <c r="F28" t="s">
        <v>56</v>
      </c>
      <c r="G28" t="s">
        <v>55</v>
      </c>
      <c r="H28" t="s">
        <v>56</v>
      </c>
      <c r="I28">
        <v>0</v>
      </c>
      <c r="J28" t="s">
        <v>30</v>
      </c>
    </row>
    <row r="29" spans="1:10" x14ac:dyDescent="0.3">
      <c r="A29" t="s">
        <v>295</v>
      </c>
      <c r="B29" t="s">
        <v>69</v>
      </c>
      <c r="C29" t="s">
        <v>70</v>
      </c>
      <c r="D29" t="s">
        <v>71</v>
      </c>
      <c r="E29" s="49" t="s">
        <v>73</v>
      </c>
      <c r="F29" s="49" t="s">
        <v>74</v>
      </c>
      <c r="G29" s="49" t="s">
        <v>73</v>
      </c>
      <c r="H29" s="49" t="s">
        <v>74</v>
      </c>
      <c r="I29">
        <v>0</v>
      </c>
      <c r="J29" t="s">
        <v>30</v>
      </c>
    </row>
    <row r="30" spans="1:10" x14ac:dyDescent="0.3">
      <c r="A30" t="s">
        <v>295</v>
      </c>
      <c r="B30" t="s">
        <v>88</v>
      </c>
      <c r="C30" t="s">
        <v>89</v>
      </c>
      <c r="D30" t="s">
        <v>90</v>
      </c>
      <c r="E30" s="49" t="s">
        <v>75</v>
      </c>
      <c r="F30" s="49" t="s">
        <v>94</v>
      </c>
      <c r="G30" s="49" t="s">
        <v>75</v>
      </c>
      <c r="H30" s="49" t="s">
        <v>94</v>
      </c>
      <c r="I30">
        <v>0</v>
      </c>
      <c r="J30" t="s">
        <v>30</v>
      </c>
    </row>
    <row r="31" spans="1:10" x14ac:dyDescent="0.3">
      <c r="A31" t="s">
        <v>295</v>
      </c>
      <c r="B31" t="s">
        <v>103</v>
      </c>
      <c r="C31" t="s">
        <v>104</v>
      </c>
      <c r="D31" t="s">
        <v>105</v>
      </c>
      <c r="E31" s="49" t="s">
        <v>75</v>
      </c>
      <c r="F31" s="49" t="s">
        <v>108</v>
      </c>
      <c r="G31" s="49" t="s">
        <v>75</v>
      </c>
      <c r="H31" s="49" t="s">
        <v>108</v>
      </c>
      <c r="I31">
        <v>0</v>
      </c>
      <c r="J31" t="s">
        <v>30</v>
      </c>
    </row>
    <row r="32" spans="1:10" x14ac:dyDescent="0.3">
      <c r="A32" t="s">
        <v>295</v>
      </c>
      <c r="B32" t="s">
        <v>116</v>
      </c>
      <c r="C32" t="s">
        <v>104</v>
      </c>
      <c r="D32" t="s">
        <v>105</v>
      </c>
      <c r="E32" s="49" t="s">
        <v>119</v>
      </c>
      <c r="F32" s="49" t="s">
        <v>120</v>
      </c>
      <c r="G32" s="49" t="s">
        <v>119</v>
      </c>
      <c r="H32" s="49" t="s">
        <v>120</v>
      </c>
      <c r="I32">
        <v>0</v>
      </c>
      <c r="J32" t="s">
        <v>30</v>
      </c>
    </row>
    <row r="33" spans="1:10" x14ac:dyDescent="0.3">
      <c r="A33" t="s">
        <v>295</v>
      </c>
      <c r="B33" t="s">
        <v>129</v>
      </c>
      <c r="C33" t="s">
        <v>130</v>
      </c>
      <c r="D33" t="s">
        <v>131</v>
      </c>
      <c r="E33" s="49" t="s">
        <v>67</v>
      </c>
      <c r="F33" s="49" t="s">
        <v>67</v>
      </c>
      <c r="G33" s="49" t="s">
        <v>67</v>
      </c>
      <c r="H33" s="49" t="s">
        <v>67</v>
      </c>
      <c r="I33">
        <v>0</v>
      </c>
      <c r="J33" t="s">
        <v>30</v>
      </c>
    </row>
    <row r="34" spans="1:10" x14ac:dyDescent="0.3">
      <c r="A34" t="s">
        <v>296</v>
      </c>
      <c r="B34" t="s">
        <v>12</v>
      </c>
      <c r="C34" t="s">
        <v>13</v>
      </c>
      <c r="D34" t="s">
        <v>14</v>
      </c>
      <c r="E34" s="49" t="s">
        <v>24</v>
      </c>
      <c r="F34" s="49" t="s">
        <v>25</v>
      </c>
      <c r="G34" s="49" t="s">
        <v>24</v>
      </c>
      <c r="H34" s="49" t="s">
        <v>25</v>
      </c>
      <c r="I34">
        <v>100</v>
      </c>
      <c r="J34" t="s">
        <v>21</v>
      </c>
    </row>
    <row r="35" spans="1:10" x14ac:dyDescent="0.3">
      <c r="A35" t="s">
        <v>296</v>
      </c>
      <c r="B35" t="s">
        <v>33</v>
      </c>
      <c r="C35" t="s">
        <v>13</v>
      </c>
      <c r="D35" t="s">
        <v>14</v>
      </c>
      <c r="E35" s="50" t="s">
        <v>57</v>
      </c>
      <c r="F35" s="50" t="s">
        <v>58</v>
      </c>
      <c r="G35" s="50" t="s">
        <v>57</v>
      </c>
      <c r="H35" s="50" t="s">
        <v>58</v>
      </c>
      <c r="I35">
        <v>0</v>
      </c>
      <c r="J35" t="s">
        <v>30</v>
      </c>
    </row>
    <row r="36" spans="1:10" x14ac:dyDescent="0.3">
      <c r="A36" t="s">
        <v>296</v>
      </c>
      <c r="B36" t="s">
        <v>48</v>
      </c>
      <c r="C36" t="s">
        <v>13</v>
      </c>
      <c r="D36" t="s">
        <v>49</v>
      </c>
      <c r="E36" t="s">
        <v>57</v>
      </c>
      <c r="F36" t="s">
        <v>58</v>
      </c>
      <c r="G36" t="s">
        <v>57</v>
      </c>
      <c r="H36" t="s">
        <v>58</v>
      </c>
      <c r="I36">
        <v>0</v>
      </c>
      <c r="J36" t="s">
        <v>30</v>
      </c>
    </row>
    <row r="37" spans="1:10" x14ac:dyDescent="0.3">
      <c r="A37" t="s">
        <v>296</v>
      </c>
      <c r="B37" t="s">
        <v>69</v>
      </c>
      <c r="C37" t="s">
        <v>70</v>
      </c>
      <c r="D37" t="s">
        <v>71</v>
      </c>
      <c r="E37" s="49" t="s">
        <v>40</v>
      </c>
      <c r="F37" s="49" t="s">
        <v>76</v>
      </c>
      <c r="G37" s="49" t="s">
        <v>40</v>
      </c>
      <c r="H37" s="49" t="s">
        <v>76</v>
      </c>
      <c r="I37">
        <v>0</v>
      </c>
      <c r="J37" t="s">
        <v>30</v>
      </c>
    </row>
    <row r="38" spans="1:10" x14ac:dyDescent="0.3">
      <c r="A38" t="s">
        <v>296</v>
      </c>
      <c r="B38" t="s">
        <v>88</v>
      </c>
      <c r="C38" t="s">
        <v>89</v>
      </c>
      <c r="D38" t="s">
        <v>90</v>
      </c>
      <c r="E38" s="49" t="s">
        <v>95</v>
      </c>
      <c r="F38" s="49" t="s">
        <v>96</v>
      </c>
      <c r="G38" s="49" t="s">
        <v>95</v>
      </c>
      <c r="H38" s="49" t="s">
        <v>96</v>
      </c>
      <c r="I38">
        <v>0</v>
      </c>
      <c r="J38" t="s">
        <v>30</v>
      </c>
    </row>
    <row r="39" spans="1:10" x14ac:dyDescent="0.3">
      <c r="A39" t="s">
        <v>296</v>
      </c>
      <c r="B39" t="s">
        <v>103</v>
      </c>
      <c r="C39" t="s">
        <v>104</v>
      </c>
      <c r="D39" t="s">
        <v>105</v>
      </c>
      <c r="E39" s="49" t="s">
        <v>95</v>
      </c>
      <c r="F39" s="49" t="s">
        <v>109</v>
      </c>
      <c r="G39" s="49" t="s">
        <v>95</v>
      </c>
      <c r="H39" s="49" t="s">
        <v>109</v>
      </c>
      <c r="I39">
        <v>0</v>
      </c>
      <c r="J39" t="s">
        <v>30</v>
      </c>
    </row>
    <row r="40" spans="1:10" x14ac:dyDescent="0.3">
      <c r="A40" t="s">
        <v>296</v>
      </c>
      <c r="B40" t="s">
        <v>116</v>
      </c>
      <c r="C40" t="s">
        <v>104</v>
      </c>
      <c r="D40" t="s">
        <v>105</v>
      </c>
      <c r="E40" s="49" t="s">
        <v>121</v>
      </c>
      <c r="F40" s="49" t="s">
        <v>122</v>
      </c>
      <c r="G40" s="49" t="s">
        <v>121</v>
      </c>
      <c r="H40" s="49" t="s">
        <v>122</v>
      </c>
      <c r="I40">
        <v>0</v>
      </c>
      <c r="J40" t="s">
        <v>30</v>
      </c>
    </row>
    <row r="41" spans="1:10" x14ac:dyDescent="0.3">
      <c r="A41" t="s">
        <v>296</v>
      </c>
      <c r="B41" t="s">
        <v>129</v>
      </c>
      <c r="C41" t="s">
        <v>130</v>
      </c>
      <c r="D41" t="s">
        <v>131</v>
      </c>
      <c r="E41" s="49" t="s">
        <v>124</v>
      </c>
      <c r="F41" s="49" t="s">
        <v>124</v>
      </c>
      <c r="G41" s="49" t="s">
        <v>124</v>
      </c>
      <c r="H41" s="49" t="s">
        <v>124</v>
      </c>
      <c r="I41">
        <v>0</v>
      </c>
      <c r="J41" t="s">
        <v>30</v>
      </c>
    </row>
    <row r="42" spans="1:10" x14ac:dyDescent="0.3">
      <c r="A42" t="s">
        <v>291</v>
      </c>
      <c r="B42" t="s">
        <v>12</v>
      </c>
      <c r="C42" t="s">
        <v>13</v>
      </c>
      <c r="D42" t="s">
        <v>14</v>
      </c>
      <c r="E42" s="49" t="s">
        <v>24</v>
      </c>
      <c r="F42" s="49" t="s">
        <v>26</v>
      </c>
      <c r="G42" s="49" t="s">
        <v>24</v>
      </c>
      <c r="H42" s="49" t="s">
        <v>26</v>
      </c>
      <c r="I42">
        <v>100</v>
      </c>
      <c r="J42" t="s">
        <v>21</v>
      </c>
    </row>
    <row r="43" spans="1:10" x14ac:dyDescent="0.3">
      <c r="A43" t="s">
        <v>291</v>
      </c>
      <c r="B43" t="s">
        <v>33</v>
      </c>
      <c r="C43" t="s">
        <v>13</v>
      </c>
      <c r="D43" t="s">
        <v>14</v>
      </c>
      <c r="E43" s="50" t="s">
        <v>39</v>
      </c>
      <c r="F43" s="50" t="s">
        <v>59</v>
      </c>
      <c r="G43" s="50" t="s">
        <v>39</v>
      </c>
      <c r="H43" s="50" t="s">
        <v>59</v>
      </c>
      <c r="I43">
        <v>0</v>
      </c>
      <c r="J43" t="s">
        <v>30</v>
      </c>
    </row>
    <row r="44" spans="1:10" x14ac:dyDescent="0.3">
      <c r="A44" t="s">
        <v>291</v>
      </c>
      <c r="B44" t="s">
        <v>48</v>
      </c>
      <c r="C44" t="s">
        <v>13</v>
      </c>
      <c r="D44" t="s">
        <v>49</v>
      </c>
      <c r="E44" t="s">
        <v>39</v>
      </c>
      <c r="F44" t="s">
        <v>59</v>
      </c>
      <c r="G44" t="s">
        <v>39</v>
      </c>
      <c r="H44" t="s">
        <v>59</v>
      </c>
      <c r="I44">
        <v>0</v>
      </c>
      <c r="J44" t="s">
        <v>30</v>
      </c>
    </row>
    <row r="45" spans="1:10" x14ac:dyDescent="0.3">
      <c r="A45" t="s">
        <v>291</v>
      </c>
      <c r="B45" t="s">
        <v>69</v>
      </c>
      <c r="C45" t="s">
        <v>70</v>
      </c>
      <c r="D45" t="s">
        <v>71</v>
      </c>
      <c r="E45" s="49" t="s">
        <v>43</v>
      </c>
      <c r="F45" s="49" t="s">
        <v>77</v>
      </c>
      <c r="G45" s="49" t="s">
        <v>43</v>
      </c>
      <c r="H45" s="49" t="s">
        <v>77</v>
      </c>
      <c r="I45">
        <v>0</v>
      </c>
      <c r="J45" t="s">
        <v>30</v>
      </c>
    </row>
    <row r="46" spans="1:10" x14ac:dyDescent="0.3">
      <c r="A46" t="s">
        <v>291</v>
      </c>
      <c r="B46" t="s">
        <v>88</v>
      </c>
      <c r="C46" t="s">
        <v>89</v>
      </c>
      <c r="D46" t="s">
        <v>90</v>
      </c>
      <c r="E46" s="49" t="s">
        <v>97</v>
      </c>
      <c r="F46" s="49" t="s">
        <v>98</v>
      </c>
      <c r="G46" s="49" t="s">
        <v>97</v>
      </c>
      <c r="H46" s="49" t="s">
        <v>98</v>
      </c>
      <c r="I46">
        <v>0</v>
      </c>
      <c r="J46" t="s">
        <v>30</v>
      </c>
    </row>
    <row r="47" spans="1:10" x14ac:dyDescent="0.3">
      <c r="A47" t="s">
        <v>291</v>
      </c>
      <c r="B47" t="s">
        <v>103</v>
      </c>
      <c r="C47" t="s">
        <v>104</v>
      </c>
      <c r="D47" t="s">
        <v>105</v>
      </c>
      <c r="E47" s="49" t="s">
        <v>97</v>
      </c>
      <c r="F47" s="49" t="s">
        <v>110</v>
      </c>
      <c r="G47" s="49" t="s">
        <v>97</v>
      </c>
      <c r="H47" s="49" t="s">
        <v>110</v>
      </c>
      <c r="I47">
        <v>0</v>
      </c>
      <c r="J47" t="s">
        <v>30</v>
      </c>
    </row>
    <row r="48" spans="1:10" x14ac:dyDescent="0.3">
      <c r="A48" t="s">
        <v>291</v>
      </c>
      <c r="B48" t="s">
        <v>116</v>
      </c>
      <c r="C48" t="s">
        <v>104</v>
      </c>
      <c r="D48" t="s">
        <v>105</v>
      </c>
      <c r="E48" s="49" t="s">
        <v>67</v>
      </c>
      <c r="F48" s="49" t="s">
        <v>123</v>
      </c>
      <c r="G48" s="49" t="s">
        <v>67</v>
      </c>
      <c r="H48" s="49" t="s">
        <v>123</v>
      </c>
      <c r="I48">
        <v>0</v>
      </c>
      <c r="J48" t="s">
        <v>30</v>
      </c>
    </row>
    <row r="49" spans="1:10" x14ac:dyDescent="0.3">
      <c r="A49" t="s">
        <v>291</v>
      </c>
      <c r="B49" t="s">
        <v>129</v>
      </c>
      <c r="C49" t="s">
        <v>130</v>
      </c>
      <c r="D49" t="s">
        <v>131</v>
      </c>
      <c r="E49" s="49" t="s">
        <v>126</v>
      </c>
      <c r="F49" s="49" t="s">
        <v>126</v>
      </c>
      <c r="G49" s="49" t="s">
        <v>126</v>
      </c>
      <c r="H49" s="49" t="s">
        <v>126</v>
      </c>
      <c r="I49">
        <v>0</v>
      </c>
      <c r="J49" t="s">
        <v>30</v>
      </c>
    </row>
    <row r="50" spans="1:10" x14ac:dyDescent="0.3">
      <c r="A50" t="s">
        <v>293</v>
      </c>
      <c r="B50" t="s">
        <v>12</v>
      </c>
      <c r="C50" t="s">
        <v>13</v>
      </c>
      <c r="D50" t="s">
        <v>14</v>
      </c>
      <c r="E50" s="49" t="s">
        <v>16</v>
      </c>
      <c r="F50" s="49" t="s">
        <v>28</v>
      </c>
      <c r="G50" s="49" t="s">
        <v>16</v>
      </c>
      <c r="H50" s="49" t="s">
        <v>28</v>
      </c>
      <c r="I50">
        <v>100</v>
      </c>
      <c r="J50" t="s">
        <v>21</v>
      </c>
    </row>
    <row r="51" spans="1:10" x14ac:dyDescent="0.3">
      <c r="A51" t="s">
        <v>293</v>
      </c>
      <c r="B51" t="s">
        <v>33</v>
      </c>
      <c r="C51" t="s">
        <v>13</v>
      </c>
      <c r="D51" t="s">
        <v>14</v>
      </c>
      <c r="E51" s="50" t="s">
        <v>60</v>
      </c>
      <c r="F51" s="50" t="s">
        <v>61</v>
      </c>
      <c r="G51" s="50" t="s">
        <v>60</v>
      </c>
      <c r="H51" s="50" t="s">
        <v>61</v>
      </c>
      <c r="I51">
        <v>0</v>
      </c>
      <c r="J51" t="s">
        <v>30</v>
      </c>
    </row>
    <row r="52" spans="1:10" x14ac:dyDescent="0.3">
      <c r="A52" t="s">
        <v>293</v>
      </c>
      <c r="B52" t="s">
        <v>48</v>
      </c>
      <c r="C52" t="s">
        <v>13</v>
      </c>
      <c r="D52" t="s">
        <v>49</v>
      </c>
      <c r="E52" t="s">
        <v>60</v>
      </c>
      <c r="F52" t="s">
        <v>61</v>
      </c>
      <c r="G52" t="s">
        <v>60</v>
      </c>
      <c r="H52" t="s">
        <v>61</v>
      </c>
      <c r="I52">
        <v>0</v>
      </c>
      <c r="J52" t="s">
        <v>30</v>
      </c>
    </row>
    <row r="53" spans="1:10" x14ac:dyDescent="0.3">
      <c r="A53" t="s">
        <v>293</v>
      </c>
      <c r="B53" t="s">
        <v>69</v>
      </c>
      <c r="C53" t="s">
        <v>70</v>
      </c>
      <c r="D53" t="s">
        <v>71</v>
      </c>
      <c r="E53" s="49" t="s">
        <v>44</v>
      </c>
      <c r="F53" s="49" t="s">
        <v>78</v>
      </c>
      <c r="G53" s="49" t="s">
        <v>44</v>
      </c>
      <c r="H53" s="49" t="s">
        <v>78</v>
      </c>
      <c r="I53">
        <v>0</v>
      </c>
      <c r="J53" t="s">
        <v>30</v>
      </c>
    </row>
    <row r="54" spans="1:10" x14ac:dyDescent="0.3">
      <c r="A54" t="s">
        <v>293</v>
      </c>
      <c r="B54" t="s">
        <v>88</v>
      </c>
      <c r="C54" t="s">
        <v>89</v>
      </c>
      <c r="D54" t="s">
        <v>90</v>
      </c>
      <c r="E54" s="49" t="s">
        <v>47</v>
      </c>
      <c r="F54" s="49" t="s">
        <v>99</v>
      </c>
      <c r="G54" s="49" t="s">
        <v>47</v>
      </c>
      <c r="H54" s="49" t="s">
        <v>99</v>
      </c>
      <c r="I54">
        <v>0</v>
      </c>
      <c r="J54" t="s">
        <v>30</v>
      </c>
    </row>
    <row r="55" spans="1:10" x14ac:dyDescent="0.3">
      <c r="A55" t="s">
        <v>293</v>
      </c>
      <c r="B55" t="s">
        <v>103</v>
      </c>
      <c r="C55" t="s">
        <v>104</v>
      </c>
      <c r="D55" t="s">
        <v>105</v>
      </c>
      <c r="E55" s="49" t="s">
        <v>47</v>
      </c>
      <c r="F55" s="49" t="s">
        <v>111</v>
      </c>
      <c r="G55" s="49" t="s">
        <v>47</v>
      </c>
      <c r="H55" s="49" t="s">
        <v>111</v>
      </c>
      <c r="I55">
        <v>0</v>
      </c>
      <c r="J55" t="s">
        <v>30</v>
      </c>
    </row>
    <row r="56" spans="1:10" x14ac:dyDescent="0.3">
      <c r="A56" t="s">
        <v>293</v>
      </c>
      <c r="B56" t="s">
        <v>116</v>
      </c>
      <c r="C56" t="s">
        <v>104</v>
      </c>
      <c r="D56" t="s">
        <v>105</v>
      </c>
      <c r="E56" s="49" t="s">
        <v>124</v>
      </c>
      <c r="F56" s="49" t="s">
        <v>125</v>
      </c>
      <c r="G56" s="49" t="s">
        <v>124</v>
      </c>
      <c r="H56" s="49" t="s">
        <v>125</v>
      </c>
      <c r="I56">
        <v>0</v>
      </c>
      <c r="J56" t="s">
        <v>30</v>
      </c>
    </row>
    <row r="57" spans="1:10" x14ac:dyDescent="0.3">
      <c r="A57" t="s">
        <v>293</v>
      </c>
      <c r="B57" t="s">
        <v>129</v>
      </c>
      <c r="C57" t="s">
        <v>130</v>
      </c>
      <c r="D57" t="s">
        <v>131</v>
      </c>
      <c r="E57" s="49" t="s">
        <v>127</v>
      </c>
      <c r="F57" s="49" t="s">
        <v>127</v>
      </c>
      <c r="G57" s="49" t="s">
        <v>127</v>
      </c>
      <c r="H57" s="49" t="s">
        <v>127</v>
      </c>
      <c r="I57">
        <v>0</v>
      </c>
      <c r="J57" t="s">
        <v>30</v>
      </c>
    </row>
    <row r="58" spans="1:10" x14ac:dyDescent="0.3">
      <c r="A58" t="s">
        <v>294</v>
      </c>
      <c r="B58" t="s">
        <v>12</v>
      </c>
      <c r="C58" t="s">
        <v>13</v>
      </c>
      <c r="D58" t="s">
        <v>14</v>
      </c>
      <c r="E58" s="49" t="s">
        <v>16</v>
      </c>
      <c r="F58" s="49" t="s">
        <v>29</v>
      </c>
      <c r="G58" s="49" t="s">
        <v>16</v>
      </c>
      <c r="H58" s="49" t="s">
        <v>29</v>
      </c>
      <c r="I58">
        <v>100</v>
      </c>
      <c r="J58" t="s">
        <v>30</v>
      </c>
    </row>
    <row r="59" spans="1:10" x14ac:dyDescent="0.3">
      <c r="A59" t="s">
        <v>294</v>
      </c>
      <c r="B59" t="s">
        <v>33</v>
      </c>
      <c r="C59" t="s">
        <v>13</v>
      </c>
      <c r="D59" t="s">
        <v>14</v>
      </c>
      <c r="E59" s="50" t="s">
        <v>62</v>
      </c>
      <c r="F59" s="50" t="s">
        <v>63</v>
      </c>
      <c r="G59" s="50" t="s">
        <v>62</v>
      </c>
      <c r="H59" s="50" t="s">
        <v>63</v>
      </c>
      <c r="I59">
        <v>0</v>
      </c>
      <c r="J59" t="s">
        <v>30</v>
      </c>
    </row>
    <row r="60" spans="1:10" x14ac:dyDescent="0.3">
      <c r="A60" t="s">
        <v>294</v>
      </c>
      <c r="B60" t="s">
        <v>48</v>
      </c>
      <c r="C60" t="s">
        <v>13</v>
      </c>
      <c r="D60" t="s">
        <v>49</v>
      </c>
      <c r="E60" t="s">
        <v>62</v>
      </c>
      <c r="F60" t="s">
        <v>63</v>
      </c>
      <c r="G60" t="s">
        <v>62</v>
      </c>
      <c r="H60" t="s">
        <v>63</v>
      </c>
      <c r="I60">
        <v>0</v>
      </c>
      <c r="J60" t="s">
        <v>30</v>
      </c>
    </row>
    <row r="61" spans="1:10" x14ac:dyDescent="0.3">
      <c r="A61" t="s">
        <v>294</v>
      </c>
      <c r="B61" t="s">
        <v>69</v>
      </c>
      <c r="C61" t="s">
        <v>70</v>
      </c>
      <c r="D61" t="s">
        <v>71</v>
      </c>
      <c r="E61" s="49" t="s">
        <v>46</v>
      </c>
      <c r="F61" s="49" t="s">
        <v>79</v>
      </c>
      <c r="G61" s="49" t="s">
        <v>46</v>
      </c>
      <c r="H61" s="49" t="s">
        <v>79</v>
      </c>
      <c r="I61">
        <v>0</v>
      </c>
      <c r="J61" t="s">
        <v>30</v>
      </c>
    </row>
    <row r="62" spans="1:10" x14ac:dyDescent="0.3">
      <c r="A62" t="s">
        <v>294</v>
      </c>
      <c r="B62" t="s">
        <v>88</v>
      </c>
      <c r="C62" t="s">
        <v>89</v>
      </c>
      <c r="D62" t="s">
        <v>90</v>
      </c>
      <c r="E62" s="49" t="s">
        <v>80</v>
      </c>
      <c r="F62" s="49" t="s">
        <v>100</v>
      </c>
      <c r="G62" s="49" t="s">
        <v>80</v>
      </c>
      <c r="H62" s="49" t="s">
        <v>100</v>
      </c>
      <c r="I62">
        <v>0</v>
      </c>
      <c r="J62" t="s">
        <v>30</v>
      </c>
    </row>
    <row r="63" spans="1:10" x14ac:dyDescent="0.3">
      <c r="A63" t="s">
        <v>294</v>
      </c>
      <c r="B63" t="s">
        <v>103</v>
      </c>
      <c r="C63" t="s">
        <v>104</v>
      </c>
      <c r="D63" t="s">
        <v>105</v>
      </c>
      <c r="E63" s="49" t="s">
        <v>80</v>
      </c>
      <c r="F63" s="49" t="s">
        <v>112</v>
      </c>
      <c r="G63" s="49" t="s">
        <v>80</v>
      </c>
      <c r="H63" s="49" t="s">
        <v>112</v>
      </c>
      <c r="I63">
        <v>0</v>
      </c>
      <c r="J63" t="s">
        <v>30</v>
      </c>
    </row>
    <row r="64" spans="1:10" x14ac:dyDescent="0.3">
      <c r="A64" t="s">
        <v>294</v>
      </c>
      <c r="B64" t="s">
        <v>116</v>
      </c>
      <c r="C64" t="s">
        <v>104</v>
      </c>
      <c r="D64" t="s">
        <v>105</v>
      </c>
      <c r="E64" s="49" t="s">
        <v>126</v>
      </c>
      <c r="F64" s="49" t="s">
        <v>100</v>
      </c>
      <c r="G64" s="49" t="s">
        <v>126</v>
      </c>
      <c r="H64" s="49" t="s">
        <v>100</v>
      </c>
      <c r="I64">
        <v>0</v>
      </c>
      <c r="J64" t="s">
        <v>30</v>
      </c>
    </row>
    <row r="65" spans="1:10" x14ac:dyDescent="0.3">
      <c r="A65" t="s">
        <v>294</v>
      </c>
      <c r="B65" t="s">
        <v>129</v>
      </c>
      <c r="C65" t="s">
        <v>130</v>
      </c>
      <c r="D65" t="s">
        <v>131</v>
      </c>
      <c r="E65" s="49" t="s">
        <v>128</v>
      </c>
      <c r="F65" s="49" t="s">
        <v>128</v>
      </c>
      <c r="G65" s="49" t="s">
        <v>128</v>
      </c>
      <c r="H65" s="49" t="s">
        <v>128</v>
      </c>
      <c r="I65">
        <v>0</v>
      </c>
      <c r="J65" t="s">
        <v>30</v>
      </c>
    </row>
    <row r="66" spans="1:10" x14ac:dyDescent="0.3">
      <c r="A66" t="s">
        <v>298</v>
      </c>
      <c r="B66" t="s">
        <v>12</v>
      </c>
      <c r="C66" t="s">
        <v>13</v>
      </c>
      <c r="D66" t="s">
        <v>14</v>
      </c>
      <c r="E66" s="49" t="s">
        <v>22</v>
      </c>
      <c r="F66" s="49" t="s">
        <v>31</v>
      </c>
      <c r="G66" s="49" t="s">
        <v>22</v>
      </c>
      <c r="H66" s="49" t="s">
        <v>31</v>
      </c>
      <c r="I66">
        <v>100</v>
      </c>
      <c r="J66" t="s">
        <v>30</v>
      </c>
    </row>
    <row r="67" spans="1:10" x14ac:dyDescent="0.3">
      <c r="A67" t="s">
        <v>298</v>
      </c>
      <c r="B67" t="s">
        <v>33</v>
      </c>
      <c r="C67" t="s">
        <v>13</v>
      </c>
      <c r="D67" t="s">
        <v>14</v>
      </c>
      <c r="E67" s="50" t="s">
        <v>64</v>
      </c>
      <c r="F67" s="50" t="s">
        <v>65</v>
      </c>
      <c r="G67" s="50" t="s">
        <v>64</v>
      </c>
      <c r="H67" s="50" t="s">
        <v>65</v>
      </c>
      <c r="I67">
        <v>0</v>
      </c>
      <c r="J67" t="s">
        <v>30</v>
      </c>
    </row>
    <row r="68" spans="1:10" x14ac:dyDescent="0.3">
      <c r="A68" t="s">
        <v>298</v>
      </c>
      <c r="B68" t="s">
        <v>48</v>
      </c>
      <c r="C68" t="s">
        <v>13</v>
      </c>
      <c r="D68" t="s">
        <v>49</v>
      </c>
      <c r="E68" t="s">
        <v>64</v>
      </c>
      <c r="F68" t="s">
        <v>65</v>
      </c>
      <c r="G68" t="s">
        <v>64</v>
      </c>
      <c r="H68" t="s">
        <v>65</v>
      </c>
      <c r="I68">
        <v>0</v>
      </c>
      <c r="J68" t="s">
        <v>30</v>
      </c>
    </row>
    <row r="69" spans="1:10" x14ac:dyDescent="0.3">
      <c r="A69" t="s">
        <v>298</v>
      </c>
      <c r="B69" t="s">
        <v>69</v>
      </c>
      <c r="C69" t="s">
        <v>70</v>
      </c>
      <c r="D69" t="s">
        <v>71</v>
      </c>
      <c r="E69" s="49" t="s">
        <v>81</v>
      </c>
      <c r="F69" s="49" t="s">
        <v>82</v>
      </c>
      <c r="G69" s="49" t="s">
        <v>81</v>
      </c>
      <c r="H69" s="49" t="s">
        <v>82</v>
      </c>
      <c r="I69">
        <v>0</v>
      </c>
      <c r="J69" t="s">
        <v>30</v>
      </c>
    </row>
    <row r="70" spans="1:10" x14ac:dyDescent="0.3">
      <c r="A70" t="s">
        <v>298</v>
      </c>
      <c r="B70" t="s">
        <v>88</v>
      </c>
      <c r="C70" t="s">
        <v>89</v>
      </c>
      <c r="D70" t="s">
        <v>90</v>
      </c>
      <c r="E70" s="49" t="s">
        <v>83</v>
      </c>
      <c r="F70" s="49" t="s">
        <v>101</v>
      </c>
      <c r="G70" s="49" t="s">
        <v>83</v>
      </c>
      <c r="H70" s="49" t="s">
        <v>101</v>
      </c>
      <c r="I70">
        <v>0</v>
      </c>
      <c r="J70" t="s">
        <v>30</v>
      </c>
    </row>
    <row r="71" spans="1:10" x14ac:dyDescent="0.3">
      <c r="A71" t="s">
        <v>298</v>
      </c>
      <c r="B71" t="s">
        <v>103</v>
      </c>
      <c r="C71" t="s">
        <v>104</v>
      </c>
      <c r="D71" t="s">
        <v>105</v>
      </c>
      <c r="E71" s="49" t="s">
        <v>83</v>
      </c>
      <c r="F71" s="49" t="s">
        <v>113</v>
      </c>
      <c r="G71" s="49" t="s">
        <v>83</v>
      </c>
      <c r="H71" s="49" t="s">
        <v>113</v>
      </c>
      <c r="I71">
        <v>0</v>
      </c>
      <c r="J71" t="s">
        <v>30</v>
      </c>
    </row>
    <row r="72" spans="1:10" x14ac:dyDescent="0.3">
      <c r="A72" t="s">
        <v>298</v>
      </c>
      <c r="B72" t="s">
        <v>116</v>
      </c>
      <c r="C72" t="s">
        <v>104</v>
      </c>
      <c r="D72" t="s">
        <v>105</v>
      </c>
      <c r="E72" s="49" t="s">
        <v>127</v>
      </c>
      <c r="F72" s="49" t="s">
        <v>101</v>
      </c>
      <c r="G72" s="49" t="s">
        <v>127</v>
      </c>
      <c r="H72" s="49" t="s">
        <v>101</v>
      </c>
      <c r="I72">
        <v>0</v>
      </c>
      <c r="J72" t="s">
        <v>30</v>
      </c>
    </row>
    <row r="73" spans="1:10" x14ac:dyDescent="0.3">
      <c r="A73" t="s">
        <v>298</v>
      </c>
      <c r="B73" t="s">
        <v>129</v>
      </c>
      <c r="C73" t="s">
        <v>130</v>
      </c>
      <c r="D73" t="s">
        <v>131</v>
      </c>
      <c r="E73" s="49" t="s">
        <v>115</v>
      </c>
      <c r="F73" s="49" t="s">
        <v>115</v>
      </c>
      <c r="G73" s="49" t="s">
        <v>115</v>
      </c>
      <c r="H73" s="49" t="s">
        <v>115</v>
      </c>
      <c r="I73">
        <v>0</v>
      </c>
      <c r="J73" t="s">
        <v>30</v>
      </c>
    </row>
    <row r="74" spans="1:10" x14ac:dyDescent="0.3">
      <c r="A74" t="s">
        <v>297</v>
      </c>
      <c r="B74" t="s">
        <v>12</v>
      </c>
      <c r="C74" t="s">
        <v>13</v>
      </c>
      <c r="D74" t="s">
        <v>14</v>
      </c>
      <c r="E74" s="49" t="s">
        <v>22</v>
      </c>
      <c r="F74" s="49" t="s">
        <v>32</v>
      </c>
      <c r="G74" s="49" t="s">
        <v>22</v>
      </c>
      <c r="H74" s="49" t="s">
        <v>32</v>
      </c>
      <c r="I74">
        <v>100</v>
      </c>
      <c r="J74" t="s">
        <v>30</v>
      </c>
    </row>
    <row r="75" spans="1:10" x14ac:dyDescent="0.3">
      <c r="A75" t="s">
        <v>297</v>
      </c>
      <c r="B75" t="s">
        <v>33</v>
      </c>
      <c r="C75" t="s">
        <v>13</v>
      </c>
      <c r="D75" t="s">
        <v>14</v>
      </c>
      <c r="E75" s="50" t="s">
        <v>66</v>
      </c>
      <c r="F75" s="50" t="s">
        <v>68</v>
      </c>
      <c r="G75" s="50" t="s">
        <v>66</v>
      </c>
      <c r="H75" s="50" t="s">
        <v>68</v>
      </c>
      <c r="I75">
        <v>0</v>
      </c>
      <c r="J75" t="s">
        <v>30</v>
      </c>
    </row>
    <row r="76" spans="1:10" x14ac:dyDescent="0.3">
      <c r="A76" t="s">
        <v>297</v>
      </c>
      <c r="B76" t="s">
        <v>48</v>
      </c>
      <c r="C76" t="s">
        <v>13</v>
      </c>
      <c r="D76" t="s">
        <v>49</v>
      </c>
      <c r="E76" t="s">
        <v>66</v>
      </c>
      <c r="F76" t="s">
        <v>68</v>
      </c>
      <c r="G76" t="s">
        <v>66</v>
      </c>
      <c r="H76" t="s">
        <v>68</v>
      </c>
      <c r="I76">
        <v>0</v>
      </c>
      <c r="J76" t="s">
        <v>30</v>
      </c>
    </row>
    <row r="77" spans="1:10" x14ac:dyDescent="0.3">
      <c r="A77" t="s">
        <v>297</v>
      </c>
      <c r="B77" t="s">
        <v>69</v>
      </c>
      <c r="C77" t="s">
        <v>70</v>
      </c>
      <c r="D77" t="s">
        <v>71</v>
      </c>
      <c r="E77" s="49" t="s">
        <v>84</v>
      </c>
      <c r="F77" s="49" t="s">
        <v>85</v>
      </c>
      <c r="G77" s="49" t="s">
        <v>84</v>
      </c>
      <c r="H77" s="49" t="s">
        <v>85</v>
      </c>
      <c r="I77">
        <v>0</v>
      </c>
      <c r="J77" t="s">
        <v>30</v>
      </c>
    </row>
    <row r="78" spans="1:10" x14ac:dyDescent="0.3">
      <c r="A78" t="s">
        <v>297</v>
      </c>
      <c r="B78" t="s">
        <v>88</v>
      </c>
      <c r="C78" t="s">
        <v>89</v>
      </c>
      <c r="D78" t="s">
        <v>90</v>
      </c>
      <c r="E78" s="49" t="s">
        <v>86</v>
      </c>
      <c r="F78" s="49" t="s">
        <v>102</v>
      </c>
      <c r="G78" s="49" t="s">
        <v>86</v>
      </c>
      <c r="H78" s="49" t="s">
        <v>102</v>
      </c>
      <c r="I78">
        <v>0</v>
      </c>
      <c r="J78" t="s">
        <v>30</v>
      </c>
    </row>
    <row r="79" spans="1:10" x14ac:dyDescent="0.3">
      <c r="A79" t="s">
        <v>297</v>
      </c>
      <c r="B79" t="s">
        <v>103</v>
      </c>
      <c r="C79" t="s">
        <v>104</v>
      </c>
      <c r="D79" t="s">
        <v>105</v>
      </c>
      <c r="E79" s="49" t="s">
        <v>86</v>
      </c>
      <c r="F79" s="49" t="s">
        <v>114</v>
      </c>
      <c r="G79" s="49" t="s">
        <v>86</v>
      </c>
      <c r="H79" s="49" t="s">
        <v>114</v>
      </c>
      <c r="I79">
        <v>0</v>
      </c>
      <c r="J79" t="s">
        <v>30</v>
      </c>
    </row>
    <row r="80" spans="1:10" x14ac:dyDescent="0.3">
      <c r="A80" t="s">
        <v>297</v>
      </c>
      <c r="B80" t="s">
        <v>116</v>
      </c>
      <c r="C80" t="s">
        <v>104</v>
      </c>
      <c r="D80" t="s">
        <v>105</v>
      </c>
      <c r="E80" s="49" t="s">
        <v>128</v>
      </c>
      <c r="F80" s="49" t="s">
        <v>102</v>
      </c>
      <c r="G80" s="49" t="s">
        <v>128</v>
      </c>
      <c r="H80" s="49" t="s">
        <v>102</v>
      </c>
      <c r="I80">
        <v>0</v>
      </c>
      <c r="J80" t="s">
        <v>30</v>
      </c>
    </row>
    <row r="81" spans="1:10" x14ac:dyDescent="0.3">
      <c r="A81" t="s">
        <v>297</v>
      </c>
      <c r="B81" t="s">
        <v>129</v>
      </c>
      <c r="C81" t="s">
        <v>130</v>
      </c>
      <c r="D81" t="s">
        <v>131</v>
      </c>
      <c r="E81" s="49" t="s">
        <v>133</v>
      </c>
      <c r="F81" s="49" t="s">
        <v>133</v>
      </c>
      <c r="G81" s="49" t="s">
        <v>133</v>
      </c>
      <c r="H81" s="49" t="s">
        <v>133</v>
      </c>
      <c r="I81">
        <v>0</v>
      </c>
      <c r="J81" t="s">
        <v>30</v>
      </c>
    </row>
  </sheetData>
  <autoFilter ref="A1:K81" xr:uid="{00000000-0001-0000-0000-000000000000}"/>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37FED-0B72-4999-9044-CF2D80C58F09}">
  <dimension ref="A1:F81"/>
  <sheetViews>
    <sheetView workbookViewId="0">
      <selection activeCell="N9" sqref="N9"/>
    </sheetView>
  </sheetViews>
  <sheetFormatPr defaultRowHeight="14.4" x14ac:dyDescent="0.3"/>
  <sheetData>
    <row r="1" spans="1:6" x14ac:dyDescent="0.3">
      <c r="A1" s="1" t="s">
        <v>0</v>
      </c>
      <c r="B1" s="1" t="s">
        <v>1</v>
      </c>
      <c r="C1" s="1" t="s">
        <v>2</v>
      </c>
      <c r="D1" s="1" t="s">
        <v>3</v>
      </c>
      <c r="E1" s="1" t="s">
        <v>4</v>
      </c>
      <c r="F1" s="1" t="s">
        <v>5</v>
      </c>
    </row>
    <row r="2" spans="1:6" x14ac:dyDescent="0.3">
      <c r="A2" t="s">
        <v>290</v>
      </c>
      <c r="B2" t="s">
        <v>12</v>
      </c>
      <c r="C2" t="s">
        <v>13</v>
      </c>
      <c r="D2" t="s">
        <v>14</v>
      </c>
      <c r="E2" t="s">
        <v>15</v>
      </c>
      <c r="F2" t="s">
        <v>16</v>
      </c>
    </row>
    <row r="3" spans="1:6" x14ac:dyDescent="0.3">
      <c r="A3" t="s">
        <v>289</v>
      </c>
      <c r="B3" t="s">
        <v>12</v>
      </c>
      <c r="C3" t="s">
        <v>13</v>
      </c>
      <c r="D3" t="s">
        <v>14</v>
      </c>
      <c r="E3" t="s">
        <v>15</v>
      </c>
      <c r="F3" t="s">
        <v>303</v>
      </c>
    </row>
    <row r="4" spans="1:6" x14ac:dyDescent="0.3">
      <c r="A4" t="s">
        <v>292</v>
      </c>
      <c r="B4" t="s">
        <v>12</v>
      </c>
      <c r="C4" t="s">
        <v>13</v>
      </c>
      <c r="D4" t="s">
        <v>14</v>
      </c>
      <c r="E4" t="s">
        <v>19</v>
      </c>
      <c r="F4" t="s">
        <v>304</v>
      </c>
    </row>
    <row r="5" spans="1:6" x14ac:dyDescent="0.3">
      <c r="A5" t="s">
        <v>295</v>
      </c>
      <c r="B5" t="s">
        <v>12</v>
      </c>
      <c r="C5" t="s">
        <v>13</v>
      </c>
      <c r="D5" t="s">
        <v>14</v>
      </c>
      <c r="E5" t="s">
        <v>19</v>
      </c>
      <c r="F5" t="s">
        <v>22</v>
      </c>
    </row>
    <row r="6" spans="1:6" x14ac:dyDescent="0.3">
      <c r="A6" t="s">
        <v>296</v>
      </c>
      <c r="B6" t="s">
        <v>12</v>
      </c>
      <c r="C6" t="s">
        <v>13</v>
      </c>
      <c r="D6" t="s">
        <v>14</v>
      </c>
      <c r="E6" t="s">
        <v>24</v>
      </c>
      <c r="F6" t="s">
        <v>305</v>
      </c>
    </row>
    <row r="7" spans="1:6" x14ac:dyDescent="0.3">
      <c r="A7" t="s">
        <v>291</v>
      </c>
      <c r="B7" t="s">
        <v>12</v>
      </c>
      <c r="C7" t="s">
        <v>13</v>
      </c>
      <c r="D7" t="s">
        <v>14</v>
      </c>
      <c r="E7" t="s">
        <v>24</v>
      </c>
      <c r="F7" t="s">
        <v>306</v>
      </c>
    </row>
    <row r="8" spans="1:6" x14ac:dyDescent="0.3">
      <c r="A8" t="s">
        <v>293</v>
      </c>
      <c r="B8" t="s">
        <v>12</v>
      </c>
      <c r="C8" t="s">
        <v>13</v>
      </c>
      <c r="D8" t="s">
        <v>14</v>
      </c>
      <c r="E8" t="s">
        <v>16</v>
      </c>
      <c r="F8" t="s">
        <v>27</v>
      </c>
    </row>
    <row r="9" spans="1:6" x14ac:dyDescent="0.3">
      <c r="A9" t="s">
        <v>294</v>
      </c>
      <c r="B9" t="s">
        <v>12</v>
      </c>
      <c r="C9" t="s">
        <v>13</v>
      </c>
      <c r="D9" t="s">
        <v>14</v>
      </c>
      <c r="E9" t="s">
        <v>16</v>
      </c>
      <c r="F9" t="s">
        <v>307</v>
      </c>
    </row>
    <row r="10" spans="1:6" x14ac:dyDescent="0.3">
      <c r="A10" t="s">
        <v>298</v>
      </c>
      <c r="B10" t="s">
        <v>12</v>
      </c>
      <c r="C10" t="s">
        <v>13</v>
      </c>
      <c r="D10" t="s">
        <v>14</v>
      </c>
      <c r="E10" t="s">
        <v>22</v>
      </c>
      <c r="F10" t="s">
        <v>308</v>
      </c>
    </row>
    <row r="11" spans="1:6" x14ac:dyDescent="0.3">
      <c r="A11" t="s">
        <v>297</v>
      </c>
      <c r="B11" t="s">
        <v>12</v>
      </c>
      <c r="C11" t="s">
        <v>13</v>
      </c>
      <c r="D11" t="s">
        <v>14</v>
      </c>
      <c r="E11" t="s">
        <v>22</v>
      </c>
      <c r="F11" t="s">
        <v>309</v>
      </c>
    </row>
    <row r="12" spans="1:6" x14ac:dyDescent="0.3">
      <c r="A12" t="s">
        <v>290</v>
      </c>
      <c r="B12" t="s">
        <v>33</v>
      </c>
      <c r="C12" t="s">
        <v>13</v>
      </c>
      <c r="D12" t="s">
        <v>14</v>
      </c>
      <c r="E12" t="s">
        <v>24</v>
      </c>
      <c r="F12" t="s">
        <v>310</v>
      </c>
    </row>
    <row r="13" spans="1:6" x14ac:dyDescent="0.3">
      <c r="A13" t="s">
        <v>289</v>
      </c>
      <c r="B13" t="s">
        <v>33</v>
      </c>
      <c r="C13" t="s">
        <v>13</v>
      </c>
      <c r="D13" t="s">
        <v>14</v>
      </c>
      <c r="E13" t="s">
        <v>311</v>
      </c>
      <c r="F13" t="s">
        <v>312</v>
      </c>
    </row>
    <row r="14" spans="1:6" x14ac:dyDescent="0.3">
      <c r="A14" t="s">
        <v>292</v>
      </c>
      <c r="B14" t="s">
        <v>33</v>
      </c>
      <c r="C14" t="s">
        <v>13</v>
      </c>
      <c r="D14" t="s">
        <v>14</v>
      </c>
      <c r="E14" t="s">
        <v>20</v>
      </c>
      <c r="F14" t="s">
        <v>313</v>
      </c>
    </row>
    <row r="15" spans="1:6" x14ac:dyDescent="0.3">
      <c r="A15" t="s">
        <v>295</v>
      </c>
      <c r="B15" t="s">
        <v>33</v>
      </c>
      <c r="C15" t="s">
        <v>13</v>
      </c>
      <c r="D15" t="s">
        <v>14</v>
      </c>
      <c r="E15" t="s">
        <v>314</v>
      </c>
      <c r="F15" t="s">
        <v>315</v>
      </c>
    </row>
    <row r="16" spans="1:6" x14ac:dyDescent="0.3">
      <c r="A16" t="s">
        <v>296</v>
      </c>
      <c r="B16" t="s">
        <v>33</v>
      </c>
      <c r="C16" t="s">
        <v>13</v>
      </c>
      <c r="D16" t="s">
        <v>14</v>
      </c>
      <c r="E16" t="s">
        <v>316</v>
      </c>
      <c r="F16" t="s">
        <v>317</v>
      </c>
    </row>
    <row r="17" spans="1:6" x14ac:dyDescent="0.3">
      <c r="A17" t="s">
        <v>291</v>
      </c>
      <c r="B17" t="s">
        <v>33</v>
      </c>
      <c r="C17" t="s">
        <v>13</v>
      </c>
      <c r="D17" t="s">
        <v>14</v>
      </c>
      <c r="E17" t="s">
        <v>318</v>
      </c>
      <c r="F17" t="s">
        <v>319</v>
      </c>
    </row>
    <row r="18" spans="1:6" x14ac:dyDescent="0.3">
      <c r="A18" t="s">
        <v>293</v>
      </c>
      <c r="B18" t="s">
        <v>33</v>
      </c>
      <c r="C18" t="s">
        <v>13</v>
      </c>
      <c r="D18" t="s">
        <v>14</v>
      </c>
      <c r="E18" t="s">
        <v>320</v>
      </c>
      <c r="F18" t="s">
        <v>37</v>
      </c>
    </row>
    <row r="19" spans="1:6" x14ac:dyDescent="0.3">
      <c r="A19" t="s">
        <v>294</v>
      </c>
      <c r="B19" t="s">
        <v>33</v>
      </c>
      <c r="C19" t="s">
        <v>13</v>
      </c>
      <c r="D19" t="s">
        <v>14</v>
      </c>
      <c r="E19" t="s">
        <v>39</v>
      </c>
      <c r="F19" t="s">
        <v>40</v>
      </c>
    </row>
    <row r="20" spans="1:6" x14ac:dyDescent="0.3">
      <c r="A20" t="s">
        <v>298</v>
      </c>
      <c r="B20" t="s">
        <v>33</v>
      </c>
      <c r="C20" t="s">
        <v>13</v>
      </c>
      <c r="D20" t="s">
        <v>14</v>
      </c>
      <c r="E20" t="s">
        <v>321</v>
      </c>
      <c r="F20" t="s">
        <v>43</v>
      </c>
    </row>
    <row r="21" spans="1:6" x14ac:dyDescent="0.3">
      <c r="A21" t="s">
        <v>297</v>
      </c>
      <c r="B21" t="s">
        <v>33</v>
      </c>
      <c r="C21" t="s">
        <v>13</v>
      </c>
      <c r="D21" t="s">
        <v>14</v>
      </c>
      <c r="E21" t="s">
        <v>45</v>
      </c>
      <c r="F21" t="s">
        <v>322</v>
      </c>
    </row>
    <row r="22" spans="1:6" x14ac:dyDescent="0.3">
      <c r="A22" t="s">
        <v>290</v>
      </c>
      <c r="B22" t="s">
        <v>48</v>
      </c>
      <c r="C22" t="s">
        <v>13</v>
      </c>
      <c r="D22" t="s">
        <v>49</v>
      </c>
      <c r="E22" t="s">
        <v>27</v>
      </c>
      <c r="F22" t="s">
        <v>323</v>
      </c>
    </row>
    <row r="23" spans="1:6" x14ac:dyDescent="0.3">
      <c r="A23" t="s">
        <v>289</v>
      </c>
      <c r="B23" t="s">
        <v>48</v>
      </c>
      <c r="C23" t="s">
        <v>13</v>
      </c>
      <c r="D23" t="s">
        <v>49</v>
      </c>
      <c r="E23" t="s">
        <v>20</v>
      </c>
      <c r="F23" t="s">
        <v>51</v>
      </c>
    </row>
    <row r="24" spans="1:6" x14ac:dyDescent="0.3">
      <c r="A24" t="s">
        <v>292</v>
      </c>
      <c r="B24" t="s">
        <v>48</v>
      </c>
      <c r="C24" t="s">
        <v>13</v>
      </c>
      <c r="D24" t="s">
        <v>49</v>
      </c>
      <c r="E24" t="s">
        <v>53</v>
      </c>
      <c r="F24" t="s">
        <v>324</v>
      </c>
    </row>
    <row r="25" spans="1:6" x14ac:dyDescent="0.3">
      <c r="A25" t="s">
        <v>295</v>
      </c>
      <c r="B25" t="s">
        <v>48</v>
      </c>
      <c r="C25" t="s">
        <v>13</v>
      </c>
      <c r="D25" t="s">
        <v>49</v>
      </c>
      <c r="E25" t="s">
        <v>55</v>
      </c>
      <c r="F25" t="s">
        <v>325</v>
      </c>
    </row>
    <row r="26" spans="1:6" x14ac:dyDescent="0.3">
      <c r="A26" t="s">
        <v>296</v>
      </c>
      <c r="B26" t="s">
        <v>48</v>
      </c>
      <c r="C26" t="s">
        <v>13</v>
      </c>
      <c r="D26" t="s">
        <v>49</v>
      </c>
      <c r="E26" t="s">
        <v>57</v>
      </c>
      <c r="F26" t="s">
        <v>37</v>
      </c>
    </row>
    <row r="27" spans="1:6" x14ac:dyDescent="0.3">
      <c r="A27" t="s">
        <v>291</v>
      </c>
      <c r="B27" t="s">
        <v>48</v>
      </c>
      <c r="C27" t="s">
        <v>13</v>
      </c>
      <c r="D27" t="s">
        <v>49</v>
      </c>
      <c r="E27" t="s">
        <v>39</v>
      </c>
      <c r="F27" t="s">
        <v>326</v>
      </c>
    </row>
    <row r="28" spans="1:6" x14ac:dyDescent="0.3">
      <c r="A28" t="s">
        <v>293</v>
      </c>
      <c r="B28" t="s">
        <v>48</v>
      </c>
      <c r="C28" t="s">
        <v>13</v>
      </c>
      <c r="D28" t="s">
        <v>49</v>
      </c>
      <c r="E28" t="s">
        <v>60</v>
      </c>
      <c r="F28" t="s">
        <v>41</v>
      </c>
    </row>
    <row r="29" spans="1:6" x14ac:dyDescent="0.3">
      <c r="A29" t="s">
        <v>294</v>
      </c>
      <c r="B29" t="s">
        <v>48</v>
      </c>
      <c r="C29" t="s">
        <v>13</v>
      </c>
      <c r="D29" t="s">
        <v>49</v>
      </c>
      <c r="E29" t="s">
        <v>62</v>
      </c>
      <c r="F29" t="s">
        <v>327</v>
      </c>
    </row>
    <row r="30" spans="1:6" x14ac:dyDescent="0.3">
      <c r="A30" t="s">
        <v>298</v>
      </c>
      <c r="B30" t="s">
        <v>48</v>
      </c>
      <c r="C30" t="s">
        <v>13</v>
      </c>
      <c r="D30" t="s">
        <v>49</v>
      </c>
      <c r="E30" t="s">
        <v>64</v>
      </c>
      <c r="F30" t="s">
        <v>328</v>
      </c>
    </row>
    <row r="31" spans="1:6" x14ac:dyDescent="0.3">
      <c r="A31" t="s">
        <v>297</v>
      </c>
      <c r="B31" t="s">
        <v>48</v>
      </c>
      <c r="C31" t="s">
        <v>13</v>
      </c>
      <c r="D31" t="s">
        <v>49</v>
      </c>
      <c r="E31" t="s">
        <v>66</v>
      </c>
      <c r="F31" t="s">
        <v>67</v>
      </c>
    </row>
    <row r="32" spans="1:6" x14ac:dyDescent="0.3">
      <c r="A32" t="s">
        <v>290</v>
      </c>
      <c r="B32" t="s">
        <v>69</v>
      </c>
      <c r="C32" t="s">
        <v>70</v>
      </c>
      <c r="D32" t="s">
        <v>71</v>
      </c>
      <c r="E32" t="s">
        <v>329</v>
      </c>
      <c r="F32" t="s">
        <v>330</v>
      </c>
    </row>
    <row r="33" spans="1:6" x14ac:dyDescent="0.3">
      <c r="A33" t="s">
        <v>289</v>
      </c>
      <c r="B33" t="s">
        <v>69</v>
      </c>
      <c r="C33" t="s">
        <v>70</v>
      </c>
      <c r="D33" t="s">
        <v>71</v>
      </c>
      <c r="E33" t="s">
        <v>314</v>
      </c>
      <c r="F33" t="s">
        <v>319</v>
      </c>
    </row>
    <row r="34" spans="1:6" x14ac:dyDescent="0.3">
      <c r="A34" t="s">
        <v>292</v>
      </c>
      <c r="B34" t="s">
        <v>69</v>
      </c>
      <c r="C34" t="s">
        <v>70</v>
      </c>
      <c r="D34" t="s">
        <v>71</v>
      </c>
      <c r="E34" t="s">
        <v>331</v>
      </c>
      <c r="F34" t="s">
        <v>35</v>
      </c>
    </row>
    <row r="35" spans="1:6" x14ac:dyDescent="0.3">
      <c r="A35" t="s">
        <v>295</v>
      </c>
      <c r="B35" t="s">
        <v>69</v>
      </c>
      <c r="C35" t="s">
        <v>70</v>
      </c>
      <c r="D35" t="s">
        <v>71</v>
      </c>
      <c r="E35" t="s">
        <v>332</v>
      </c>
      <c r="F35" t="s">
        <v>75</v>
      </c>
    </row>
    <row r="36" spans="1:6" x14ac:dyDescent="0.3">
      <c r="A36" t="s">
        <v>296</v>
      </c>
      <c r="B36" t="s">
        <v>69</v>
      </c>
      <c r="C36" t="s">
        <v>70</v>
      </c>
      <c r="D36" t="s">
        <v>71</v>
      </c>
      <c r="E36" t="s">
        <v>333</v>
      </c>
      <c r="F36" t="s">
        <v>334</v>
      </c>
    </row>
    <row r="37" spans="1:6" x14ac:dyDescent="0.3">
      <c r="A37" t="s">
        <v>291</v>
      </c>
      <c r="B37" t="s">
        <v>69</v>
      </c>
      <c r="C37" t="s">
        <v>70</v>
      </c>
      <c r="D37" t="s">
        <v>71</v>
      </c>
      <c r="E37" t="s">
        <v>321</v>
      </c>
      <c r="F37" t="s">
        <v>335</v>
      </c>
    </row>
    <row r="38" spans="1:6" x14ac:dyDescent="0.3">
      <c r="A38" t="s">
        <v>293</v>
      </c>
      <c r="B38" t="s">
        <v>69</v>
      </c>
      <c r="C38" t="s">
        <v>70</v>
      </c>
      <c r="D38" t="s">
        <v>71</v>
      </c>
      <c r="E38" t="s">
        <v>45</v>
      </c>
      <c r="F38" t="s">
        <v>336</v>
      </c>
    </row>
    <row r="39" spans="1:6" x14ac:dyDescent="0.3">
      <c r="A39" t="s">
        <v>294</v>
      </c>
      <c r="B39" t="s">
        <v>69</v>
      </c>
      <c r="C39" t="s">
        <v>70</v>
      </c>
      <c r="D39" t="s">
        <v>71</v>
      </c>
      <c r="E39" t="s">
        <v>337</v>
      </c>
      <c r="F39" t="s">
        <v>80</v>
      </c>
    </row>
    <row r="40" spans="1:6" x14ac:dyDescent="0.3">
      <c r="A40" t="s">
        <v>298</v>
      </c>
      <c r="B40" t="s">
        <v>69</v>
      </c>
      <c r="C40" t="s">
        <v>70</v>
      </c>
      <c r="D40" t="s">
        <v>71</v>
      </c>
      <c r="E40" t="s">
        <v>338</v>
      </c>
      <c r="F40" t="s">
        <v>83</v>
      </c>
    </row>
    <row r="41" spans="1:6" x14ac:dyDescent="0.3">
      <c r="A41" t="s">
        <v>297</v>
      </c>
      <c r="B41" t="s">
        <v>69</v>
      </c>
      <c r="C41" t="s">
        <v>70</v>
      </c>
      <c r="D41" t="s">
        <v>71</v>
      </c>
      <c r="E41" t="s">
        <v>339</v>
      </c>
      <c r="F41" t="s">
        <v>86</v>
      </c>
    </row>
    <row r="42" spans="1:6" x14ac:dyDescent="0.3">
      <c r="A42" t="s">
        <v>290</v>
      </c>
      <c r="B42" t="s">
        <v>88</v>
      </c>
      <c r="C42" t="s">
        <v>89</v>
      </c>
      <c r="D42" t="s">
        <v>90</v>
      </c>
      <c r="E42" t="s">
        <v>31</v>
      </c>
      <c r="F42" t="s">
        <v>73</v>
      </c>
    </row>
    <row r="43" spans="1:6" x14ac:dyDescent="0.3">
      <c r="A43" t="s">
        <v>289</v>
      </c>
      <c r="B43" t="s">
        <v>88</v>
      </c>
      <c r="C43" t="s">
        <v>89</v>
      </c>
      <c r="D43" t="s">
        <v>90</v>
      </c>
      <c r="E43" t="s">
        <v>340</v>
      </c>
      <c r="F43" t="s">
        <v>40</v>
      </c>
    </row>
    <row r="44" spans="1:6" x14ac:dyDescent="0.3">
      <c r="A44" t="s">
        <v>292</v>
      </c>
      <c r="B44" t="s">
        <v>88</v>
      </c>
      <c r="C44" t="s">
        <v>89</v>
      </c>
      <c r="D44" t="s">
        <v>90</v>
      </c>
      <c r="E44" t="s">
        <v>341</v>
      </c>
      <c r="F44" t="s">
        <v>342</v>
      </c>
    </row>
    <row r="45" spans="1:6" x14ac:dyDescent="0.3">
      <c r="A45" t="s">
        <v>295</v>
      </c>
      <c r="B45" t="s">
        <v>88</v>
      </c>
      <c r="C45" t="s">
        <v>89</v>
      </c>
      <c r="D45" t="s">
        <v>90</v>
      </c>
      <c r="E45" t="s">
        <v>343</v>
      </c>
      <c r="F45" t="s">
        <v>344</v>
      </c>
    </row>
    <row r="46" spans="1:6" x14ac:dyDescent="0.3">
      <c r="A46" t="s">
        <v>296</v>
      </c>
      <c r="B46" t="s">
        <v>88</v>
      </c>
      <c r="C46" t="s">
        <v>89</v>
      </c>
      <c r="D46" t="s">
        <v>90</v>
      </c>
      <c r="E46" t="s">
        <v>345</v>
      </c>
      <c r="F46" t="s">
        <v>81</v>
      </c>
    </row>
    <row r="47" spans="1:6" x14ac:dyDescent="0.3">
      <c r="A47" t="s">
        <v>291</v>
      </c>
      <c r="B47" t="s">
        <v>88</v>
      </c>
      <c r="C47" t="s">
        <v>89</v>
      </c>
      <c r="D47" t="s">
        <v>90</v>
      </c>
      <c r="E47" t="s">
        <v>346</v>
      </c>
      <c r="F47" t="s">
        <v>84</v>
      </c>
    </row>
    <row r="48" spans="1:6" x14ac:dyDescent="0.3">
      <c r="A48" t="s">
        <v>293</v>
      </c>
      <c r="B48" t="s">
        <v>88</v>
      </c>
      <c r="C48" t="s">
        <v>89</v>
      </c>
      <c r="D48" t="s">
        <v>90</v>
      </c>
      <c r="E48" t="s">
        <v>347</v>
      </c>
      <c r="F48" t="s">
        <v>87</v>
      </c>
    </row>
    <row r="49" spans="1:6" x14ac:dyDescent="0.3">
      <c r="A49" t="s">
        <v>294</v>
      </c>
      <c r="B49" t="s">
        <v>88</v>
      </c>
      <c r="C49" t="s">
        <v>89</v>
      </c>
      <c r="D49" t="s">
        <v>90</v>
      </c>
      <c r="E49" t="s">
        <v>348</v>
      </c>
      <c r="F49" t="s">
        <v>349</v>
      </c>
    </row>
    <row r="50" spans="1:6" x14ac:dyDescent="0.3">
      <c r="A50" t="s">
        <v>298</v>
      </c>
      <c r="B50" t="s">
        <v>88</v>
      </c>
      <c r="C50" t="s">
        <v>89</v>
      </c>
      <c r="D50" t="s">
        <v>90</v>
      </c>
      <c r="E50" t="s">
        <v>350</v>
      </c>
      <c r="F50" t="s">
        <v>351</v>
      </c>
    </row>
    <row r="51" spans="1:6" x14ac:dyDescent="0.3">
      <c r="A51" t="s">
        <v>297</v>
      </c>
      <c r="B51" t="s">
        <v>88</v>
      </c>
      <c r="C51" t="s">
        <v>89</v>
      </c>
      <c r="D51" t="s">
        <v>90</v>
      </c>
      <c r="E51" t="s">
        <v>352</v>
      </c>
      <c r="F51" t="s">
        <v>353</v>
      </c>
    </row>
    <row r="52" spans="1:6" x14ac:dyDescent="0.3">
      <c r="A52" t="s">
        <v>290</v>
      </c>
      <c r="B52" t="s">
        <v>103</v>
      </c>
      <c r="C52" t="s">
        <v>104</v>
      </c>
      <c r="D52" t="s">
        <v>105</v>
      </c>
      <c r="E52" t="s">
        <v>31</v>
      </c>
      <c r="F52" t="s">
        <v>354</v>
      </c>
    </row>
    <row r="53" spans="1:6" x14ac:dyDescent="0.3">
      <c r="A53" t="s">
        <v>289</v>
      </c>
      <c r="B53" t="s">
        <v>103</v>
      </c>
      <c r="C53" t="s">
        <v>104</v>
      </c>
      <c r="D53" t="s">
        <v>105</v>
      </c>
      <c r="E53" t="s">
        <v>355</v>
      </c>
      <c r="F53" t="s">
        <v>35</v>
      </c>
    </row>
    <row r="54" spans="1:6" x14ac:dyDescent="0.3">
      <c r="A54" t="s">
        <v>292</v>
      </c>
      <c r="B54" t="s">
        <v>103</v>
      </c>
      <c r="C54" t="s">
        <v>104</v>
      </c>
      <c r="D54" t="s">
        <v>105</v>
      </c>
      <c r="E54" t="s">
        <v>341</v>
      </c>
      <c r="F54" t="s">
        <v>38</v>
      </c>
    </row>
    <row r="55" spans="1:6" x14ac:dyDescent="0.3">
      <c r="A55" t="s">
        <v>295</v>
      </c>
      <c r="B55" t="s">
        <v>103</v>
      </c>
      <c r="C55" t="s">
        <v>104</v>
      </c>
      <c r="D55" t="s">
        <v>105</v>
      </c>
      <c r="E55" t="s">
        <v>343</v>
      </c>
      <c r="F55" t="s">
        <v>356</v>
      </c>
    </row>
    <row r="56" spans="1:6" x14ac:dyDescent="0.3">
      <c r="A56" t="s">
        <v>296</v>
      </c>
      <c r="B56" t="s">
        <v>103</v>
      </c>
      <c r="C56" t="s">
        <v>104</v>
      </c>
      <c r="D56" t="s">
        <v>105</v>
      </c>
      <c r="E56" t="s">
        <v>345</v>
      </c>
      <c r="F56" t="s">
        <v>357</v>
      </c>
    </row>
    <row r="57" spans="1:6" x14ac:dyDescent="0.3">
      <c r="A57" t="s">
        <v>291</v>
      </c>
      <c r="B57" t="s">
        <v>103</v>
      </c>
      <c r="C57" t="s">
        <v>104</v>
      </c>
      <c r="D57" t="s">
        <v>105</v>
      </c>
      <c r="E57" t="s">
        <v>346</v>
      </c>
      <c r="F57" t="s">
        <v>358</v>
      </c>
    </row>
    <row r="58" spans="1:6" x14ac:dyDescent="0.3">
      <c r="A58" t="s">
        <v>293</v>
      </c>
      <c r="B58" t="s">
        <v>103</v>
      </c>
      <c r="C58" t="s">
        <v>104</v>
      </c>
      <c r="D58" t="s">
        <v>105</v>
      </c>
      <c r="E58" t="s">
        <v>347</v>
      </c>
      <c r="F58" t="s">
        <v>359</v>
      </c>
    </row>
    <row r="59" spans="1:6" x14ac:dyDescent="0.3">
      <c r="A59" t="s">
        <v>294</v>
      </c>
      <c r="B59" t="s">
        <v>103</v>
      </c>
      <c r="C59" t="s">
        <v>104</v>
      </c>
      <c r="D59" t="s">
        <v>105</v>
      </c>
      <c r="E59" t="s">
        <v>348</v>
      </c>
      <c r="F59" t="s">
        <v>360</v>
      </c>
    </row>
    <row r="60" spans="1:6" x14ac:dyDescent="0.3">
      <c r="A60" t="s">
        <v>298</v>
      </c>
      <c r="B60" t="s">
        <v>103</v>
      </c>
      <c r="C60" t="s">
        <v>104</v>
      </c>
      <c r="D60" t="s">
        <v>105</v>
      </c>
      <c r="E60" t="s">
        <v>350</v>
      </c>
      <c r="F60" t="s">
        <v>361</v>
      </c>
    </row>
    <row r="61" spans="1:6" x14ac:dyDescent="0.3">
      <c r="A61" t="s">
        <v>297</v>
      </c>
      <c r="B61" t="s">
        <v>103</v>
      </c>
      <c r="C61" t="s">
        <v>104</v>
      </c>
      <c r="D61" t="s">
        <v>105</v>
      </c>
      <c r="E61" t="s">
        <v>352</v>
      </c>
      <c r="F61" t="s">
        <v>362</v>
      </c>
    </row>
    <row r="62" spans="1:6" x14ac:dyDescent="0.3">
      <c r="A62" t="s">
        <v>290</v>
      </c>
      <c r="B62" t="s">
        <v>116</v>
      </c>
      <c r="C62" t="s">
        <v>104</v>
      </c>
      <c r="D62" t="s">
        <v>105</v>
      </c>
      <c r="E62" t="s">
        <v>55</v>
      </c>
      <c r="F62" t="s">
        <v>73</v>
      </c>
    </row>
    <row r="63" spans="1:6" x14ac:dyDescent="0.3">
      <c r="A63" t="s">
        <v>289</v>
      </c>
      <c r="B63" t="s">
        <v>116</v>
      </c>
      <c r="C63" t="s">
        <v>104</v>
      </c>
      <c r="D63" t="s">
        <v>105</v>
      </c>
      <c r="E63" t="s">
        <v>363</v>
      </c>
      <c r="F63" t="s">
        <v>41</v>
      </c>
    </row>
    <row r="64" spans="1:6" x14ac:dyDescent="0.3">
      <c r="A64" t="s">
        <v>292</v>
      </c>
      <c r="B64" t="s">
        <v>116</v>
      </c>
      <c r="C64" t="s">
        <v>104</v>
      </c>
      <c r="D64" t="s">
        <v>105</v>
      </c>
      <c r="E64" t="s">
        <v>60</v>
      </c>
      <c r="F64" t="s">
        <v>342</v>
      </c>
    </row>
    <row r="65" spans="1:6" x14ac:dyDescent="0.3">
      <c r="A65" t="s">
        <v>295</v>
      </c>
      <c r="B65" t="s">
        <v>116</v>
      </c>
      <c r="C65" t="s">
        <v>104</v>
      </c>
      <c r="D65" t="s">
        <v>105</v>
      </c>
      <c r="E65" t="s">
        <v>62</v>
      </c>
      <c r="F65" t="s">
        <v>344</v>
      </c>
    </row>
    <row r="66" spans="1:6" x14ac:dyDescent="0.3">
      <c r="A66" t="s">
        <v>296</v>
      </c>
      <c r="B66" t="s">
        <v>116</v>
      </c>
      <c r="C66" t="s">
        <v>104</v>
      </c>
      <c r="D66" t="s">
        <v>105</v>
      </c>
      <c r="E66" t="s">
        <v>64</v>
      </c>
      <c r="F66" t="s">
        <v>81</v>
      </c>
    </row>
    <row r="67" spans="1:6" x14ac:dyDescent="0.3">
      <c r="A67" t="s">
        <v>291</v>
      </c>
      <c r="B67" t="s">
        <v>116</v>
      </c>
      <c r="C67" t="s">
        <v>104</v>
      </c>
      <c r="D67" t="s">
        <v>105</v>
      </c>
      <c r="E67" t="s">
        <v>66</v>
      </c>
      <c r="F67" t="s">
        <v>84</v>
      </c>
    </row>
    <row r="68" spans="1:6" x14ac:dyDescent="0.3">
      <c r="A68" t="s">
        <v>293</v>
      </c>
      <c r="B68" t="s">
        <v>116</v>
      </c>
      <c r="C68" t="s">
        <v>104</v>
      </c>
      <c r="D68" t="s">
        <v>105</v>
      </c>
      <c r="E68" t="s">
        <v>364</v>
      </c>
      <c r="F68" t="s">
        <v>87</v>
      </c>
    </row>
    <row r="69" spans="1:6" x14ac:dyDescent="0.3">
      <c r="A69" t="s">
        <v>294</v>
      </c>
      <c r="B69" t="s">
        <v>116</v>
      </c>
      <c r="C69" t="s">
        <v>104</v>
      </c>
      <c r="D69" t="s">
        <v>105</v>
      </c>
      <c r="E69" t="s">
        <v>365</v>
      </c>
      <c r="F69" t="s">
        <v>349</v>
      </c>
    </row>
    <row r="70" spans="1:6" x14ac:dyDescent="0.3">
      <c r="A70" t="s">
        <v>298</v>
      </c>
      <c r="B70" t="s">
        <v>116</v>
      </c>
      <c r="C70" t="s">
        <v>104</v>
      </c>
      <c r="D70" t="s">
        <v>105</v>
      </c>
      <c r="E70" t="s">
        <v>366</v>
      </c>
      <c r="F70" t="s">
        <v>351</v>
      </c>
    </row>
    <row r="71" spans="1:6" x14ac:dyDescent="0.3">
      <c r="A71" t="s">
        <v>297</v>
      </c>
      <c r="B71" t="s">
        <v>116</v>
      </c>
      <c r="C71" t="s">
        <v>104</v>
      </c>
      <c r="D71" t="s">
        <v>105</v>
      </c>
      <c r="E71" t="s">
        <v>367</v>
      </c>
      <c r="F71" t="s">
        <v>353</v>
      </c>
    </row>
    <row r="72" spans="1:6" x14ac:dyDescent="0.3">
      <c r="A72" t="s">
        <v>290</v>
      </c>
      <c r="B72" t="s">
        <v>129</v>
      </c>
      <c r="C72" t="s">
        <v>130</v>
      </c>
      <c r="D72" t="s">
        <v>131</v>
      </c>
      <c r="E72" t="s">
        <v>39</v>
      </c>
      <c r="F72" t="s">
        <v>39</v>
      </c>
    </row>
    <row r="73" spans="1:6" x14ac:dyDescent="0.3">
      <c r="A73" t="s">
        <v>289</v>
      </c>
      <c r="B73" t="s">
        <v>129</v>
      </c>
      <c r="C73" t="s">
        <v>130</v>
      </c>
      <c r="D73" t="s">
        <v>131</v>
      </c>
      <c r="E73" t="s">
        <v>368</v>
      </c>
      <c r="F73" t="s">
        <v>368</v>
      </c>
    </row>
    <row r="74" spans="1:6" x14ac:dyDescent="0.3">
      <c r="A74" t="s">
        <v>292</v>
      </c>
      <c r="B74" t="s">
        <v>129</v>
      </c>
      <c r="C74" t="s">
        <v>130</v>
      </c>
      <c r="D74" t="s">
        <v>131</v>
      </c>
      <c r="E74" t="s">
        <v>64</v>
      </c>
      <c r="F74" t="s">
        <v>64</v>
      </c>
    </row>
    <row r="75" spans="1:6" x14ac:dyDescent="0.3">
      <c r="A75" t="s">
        <v>295</v>
      </c>
      <c r="B75" t="s">
        <v>129</v>
      </c>
      <c r="C75" t="s">
        <v>130</v>
      </c>
      <c r="D75" t="s">
        <v>131</v>
      </c>
      <c r="E75" t="s">
        <v>66</v>
      </c>
      <c r="F75" t="s">
        <v>66</v>
      </c>
    </row>
    <row r="76" spans="1:6" x14ac:dyDescent="0.3">
      <c r="A76" t="s">
        <v>296</v>
      </c>
      <c r="B76" t="s">
        <v>129</v>
      </c>
      <c r="C76" t="s">
        <v>130</v>
      </c>
      <c r="D76" t="s">
        <v>131</v>
      </c>
      <c r="E76" t="s">
        <v>364</v>
      </c>
      <c r="F76" t="s">
        <v>364</v>
      </c>
    </row>
    <row r="77" spans="1:6" x14ac:dyDescent="0.3">
      <c r="A77" t="s">
        <v>291</v>
      </c>
      <c r="B77" t="s">
        <v>129</v>
      </c>
      <c r="C77" t="s">
        <v>130</v>
      </c>
      <c r="D77" t="s">
        <v>131</v>
      </c>
      <c r="E77" t="s">
        <v>365</v>
      </c>
      <c r="F77" t="s">
        <v>365</v>
      </c>
    </row>
    <row r="78" spans="1:6" x14ac:dyDescent="0.3">
      <c r="A78" t="s">
        <v>293</v>
      </c>
      <c r="B78" t="s">
        <v>129</v>
      </c>
      <c r="C78" t="s">
        <v>130</v>
      </c>
      <c r="D78" t="s">
        <v>131</v>
      </c>
      <c r="E78" t="s">
        <v>366</v>
      </c>
      <c r="F78" t="s">
        <v>366</v>
      </c>
    </row>
    <row r="79" spans="1:6" x14ac:dyDescent="0.3">
      <c r="A79" t="s">
        <v>294</v>
      </c>
      <c r="B79" t="s">
        <v>129</v>
      </c>
      <c r="C79" t="s">
        <v>130</v>
      </c>
      <c r="D79" t="s">
        <v>131</v>
      </c>
      <c r="E79" t="s">
        <v>369</v>
      </c>
      <c r="F79" t="s">
        <v>369</v>
      </c>
    </row>
    <row r="80" spans="1:6" x14ac:dyDescent="0.3">
      <c r="A80" t="s">
        <v>298</v>
      </c>
      <c r="B80" t="s">
        <v>129</v>
      </c>
      <c r="C80" t="s">
        <v>130</v>
      </c>
      <c r="D80" t="s">
        <v>131</v>
      </c>
      <c r="E80" t="s">
        <v>370</v>
      </c>
      <c r="F80" t="s">
        <v>370</v>
      </c>
    </row>
    <row r="81" spans="1:6" x14ac:dyDescent="0.3">
      <c r="A81" t="s">
        <v>297</v>
      </c>
      <c r="B81" t="s">
        <v>129</v>
      </c>
      <c r="C81" t="s">
        <v>130</v>
      </c>
      <c r="D81" t="s">
        <v>131</v>
      </c>
      <c r="E81" t="s">
        <v>371</v>
      </c>
      <c r="F81" t="s">
        <v>371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workbookViewId="0">
      <selection activeCell="A2" sqref="A2:A11"/>
    </sheetView>
  </sheetViews>
  <sheetFormatPr defaultRowHeight="14.4" x14ac:dyDescent="0.3"/>
  <cols>
    <col min="1" max="1" width="29.21875" bestFit="1" customWidth="1"/>
    <col min="2" max="2" width="12" customWidth="1"/>
    <col min="3" max="3" width="18.33203125" bestFit="1" customWidth="1"/>
    <col min="4" max="4" width="22" customWidth="1"/>
    <col min="5" max="5" width="44" customWidth="1"/>
  </cols>
  <sheetData>
    <row r="1" spans="1:5" x14ac:dyDescent="0.3">
      <c r="A1" s="1" t="s">
        <v>0</v>
      </c>
      <c r="B1" s="1" t="s">
        <v>134</v>
      </c>
      <c r="C1" s="1" t="s">
        <v>135</v>
      </c>
      <c r="D1" s="1" t="s">
        <v>136</v>
      </c>
      <c r="E1" s="1" t="s">
        <v>137</v>
      </c>
    </row>
    <row r="2" spans="1:5" x14ac:dyDescent="0.3">
      <c r="A2" s="2" t="s">
        <v>290</v>
      </c>
      <c r="B2" s="3">
        <v>150</v>
      </c>
      <c r="C2" s="4" t="s">
        <v>201</v>
      </c>
      <c r="D2" s="5">
        <v>1000000</v>
      </c>
      <c r="E2" s="4"/>
    </row>
    <row r="3" spans="1:5" x14ac:dyDescent="0.3">
      <c r="A3" s="2" t="s">
        <v>289</v>
      </c>
      <c r="B3" s="3">
        <v>300</v>
      </c>
      <c r="C3" s="4" t="s">
        <v>200</v>
      </c>
      <c r="D3" s="5">
        <v>2500000</v>
      </c>
      <c r="E3" s="4"/>
    </row>
    <row r="4" spans="1:5" x14ac:dyDescent="0.3">
      <c r="A4" s="2" t="s">
        <v>292</v>
      </c>
      <c r="B4" s="3">
        <v>150</v>
      </c>
      <c r="C4" s="4" t="s">
        <v>201</v>
      </c>
      <c r="D4" s="5">
        <v>1000000</v>
      </c>
      <c r="E4" s="4"/>
    </row>
    <row r="5" spans="1:5" x14ac:dyDescent="0.3">
      <c r="A5" s="2" t="s">
        <v>295</v>
      </c>
      <c r="B5" s="3">
        <v>400</v>
      </c>
      <c r="C5" s="4" t="s">
        <v>302</v>
      </c>
      <c r="D5" s="5">
        <v>5000000</v>
      </c>
      <c r="E5" s="4"/>
    </row>
    <row r="6" spans="1:5" x14ac:dyDescent="0.3">
      <c r="A6" s="2" t="s">
        <v>296</v>
      </c>
      <c r="B6" s="3">
        <v>800</v>
      </c>
      <c r="C6" s="4"/>
      <c r="D6" s="5">
        <v>9000000</v>
      </c>
      <c r="E6" s="4"/>
    </row>
    <row r="7" spans="1:5" x14ac:dyDescent="0.3">
      <c r="A7" s="2" t="s">
        <v>291</v>
      </c>
      <c r="B7" s="3">
        <v>150</v>
      </c>
      <c r="C7" s="4" t="s">
        <v>201</v>
      </c>
      <c r="D7" s="5">
        <v>1000000</v>
      </c>
      <c r="E7" s="4"/>
    </row>
    <row r="8" spans="1:5" x14ac:dyDescent="0.3">
      <c r="A8" s="2" t="s">
        <v>293</v>
      </c>
      <c r="B8" s="3">
        <v>150</v>
      </c>
      <c r="C8" s="4" t="s">
        <v>201</v>
      </c>
      <c r="D8" s="5">
        <v>1000000</v>
      </c>
      <c r="E8" s="4"/>
    </row>
    <row r="9" spans="1:5" x14ac:dyDescent="0.3">
      <c r="A9" s="2" t="s">
        <v>294</v>
      </c>
      <c r="B9" s="3">
        <v>150</v>
      </c>
      <c r="C9" s="4" t="s">
        <v>201</v>
      </c>
      <c r="D9" s="5">
        <v>1000000</v>
      </c>
      <c r="E9" s="4"/>
    </row>
    <row r="10" spans="1:5" x14ac:dyDescent="0.3">
      <c r="A10" t="s">
        <v>298</v>
      </c>
      <c r="B10" s="3">
        <v>300</v>
      </c>
      <c r="C10" s="4" t="s">
        <v>200</v>
      </c>
      <c r="D10" s="5">
        <v>2500000</v>
      </c>
      <c r="E10" s="4"/>
    </row>
    <row r="11" spans="1:5" x14ac:dyDescent="0.3">
      <c r="A11" s="2" t="s">
        <v>297</v>
      </c>
      <c r="B11" s="3">
        <v>300</v>
      </c>
      <c r="C11" s="4" t="s">
        <v>200</v>
      </c>
      <c r="D11" s="5">
        <v>2500000</v>
      </c>
      <c r="E11" s="4"/>
    </row>
  </sheetData>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selection activeCell="A2" sqref="A2:A11"/>
    </sheetView>
  </sheetViews>
  <sheetFormatPr defaultRowHeight="14.4" x14ac:dyDescent="0.3"/>
  <cols>
    <col min="1" max="1" width="26" customWidth="1"/>
    <col min="2" max="2" width="20" customWidth="1"/>
    <col min="3" max="3" width="18" customWidth="1"/>
    <col min="4" max="4" width="24" customWidth="1"/>
    <col min="5" max="5" width="20" customWidth="1"/>
    <col min="6" max="6" width="12" customWidth="1"/>
  </cols>
  <sheetData>
    <row r="1" spans="1:6" x14ac:dyDescent="0.3">
      <c r="A1" s="1" t="s">
        <v>0</v>
      </c>
      <c r="B1" s="1" t="s">
        <v>138</v>
      </c>
      <c r="C1" s="1" t="s">
        <v>139</v>
      </c>
      <c r="D1" s="1" t="s">
        <v>140</v>
      </c>
      <c r="E1" s="1" t="s">
        <v>141</v>
      </c>
      <c r="F1" s="1" t="s">
        <v>9</v>
      </c>
    </row>
    <row r="2" spans="1:6" x14ac:dyDescent="0.3">
      <c r="A2" s="2" t="s">
        <v>290</v>
      </c>
      <c r="B2" s="5"/>
      <c r="C2" s="5"/>
      <c r="D2" s="5">
        <v>0</v>
      </c>
      <c r="E2" s="6">
        <f>IF(B2=0,0,C2/B2)</f>
        <v>0</v>
      </c>
      <c r="F2" s="7" t="s">
        <v>142</v>
      </c>
    </row>
    <row r="3" spans="1:6" x14ac:dyDescent="0.3">
      <c r="A3" s="2" t="s">
        <v>289</v>
      </c>
      <c r="B3" s="5"/>
      <c r="C3" s="5"/>
      <c r="D3" s="5">
        <v>0</v>
      </c>
      <c r="E3" s="6">
        <f t="shared" ref="E3:E11" si="0">IF(B3=0,0,C3/B3)</f>
        <v>0</v>
      </c>
      <c r="F3" s="7" t="s">
        <v>142</v>
      </c>
    </row>
    <row r="4" spans="1:6" x14ac:dyDescent="0.3">
      <c r="A4" s="2" t="s">
        <v>292</v>
      </c>
      <c r="B4" s="5"/>
      <c r="C4" s="5"/>
      <c r="D4" s="5">
        <v>0</v>
      </c>
      <c r="E4" s="6">
        <f t="shared" si="0"/>
        <v>0</v>
      </c>
      <c r="F4" s="7" t="s">
        <v>142</v>
      </c>
    </row>
    <row r="5" spans="1:6" x14ac:dyDescent="0.3">
      <c r="A5" s="2" t="s">
        <v>295</v>
      </c>
      <c r="B5" s="5"/>
      <c r="C5" s="5"/>
      <c r="D5" s="5">
        <v>0</v>
      </c>
      <c r="E5" s="6">
        <f t="shared" si="0"/>
        <v>0</v>
      </c>
      <c r="F5" s="7" t="s">
        <v>142</v>
      </c>
    </row>
    <row r="6" spans="1:6" x14ac:dyDescent="0.3">
      <c r="A6" s="2" t="s">
        <v>296</v>
      </c>
      <c r="B6" s="5"/>
      <c r="C6" s="5"/>
      <c r="D6" s="5">
        <v>0</v>
      </c>
      <c r="E6" s="6">
        <f t="shared" si="0"/>
        <v>0</v>
      </c>
      <c r="F6" s="7" t="s">
        <v>142</v>
      </c>
    </row>
    <row r="7" spans="1:6" x14ac:dyDescent="0.3">
      <c r="A7" s="2" t="s">
        <v>291</v>
      </c>
      <c r="B7" s="5"/>
      <c r="C7" s="5"/>
      <c r="D7" s="5">
        <v>0</v>
      </c>
      <c r="E7" s="6">
        <f t="shared" si="0"/>
        <v>0</v>
      </c>
      <c r="F7" s="7" t="s">
        <v>142</v>
      </c>
    </row>
    <row r="8" spans="1:6" x14ac:dyDescent="0.3">
      <c r="A8" s="2" t="s">
        <v>293</v>
      </c>
      <c r="B8" s="5"/>
      <c r="C8" s="5"/>
      <c r="D8" s="5">
        <v>0</v>
      </c>
      <c r="E8" s="6">
        <f t="shared" si="0"/>
        <v>0</v>
      </c>
      <c r="F8" s="7" t="s">
        <v>142</v>
      </c>
    </row>
    <row r="9" spans="1:6" x14ac:dyDescent="0.3">
      <c r="A9" s="2" t="s">
        <v>294</v>
      </c>
      <c r="B9" s="5"/>
      <c r="C9" s="5"/>
      <c r="D9" s="5">
        <v>0</v>
      </c>
      <c r="E9" s="6">
        <f t="shared" si="0"/>
        <v>0</v>
      </c>
      <c r="F9" s="7" t="s">
        <v>142</v>
      </c>
    </row>
    <row r="10" spans="1:6" x14ac:dyDescent="0.3">
      <c r="A10" t="s">
        <v>298</v>
      </c>
      <c r="B10" s="5"/>
      <c r="C10" s="5"/>
      <c r="D10" s="5">
        <v>0</v>
      </c>
      <c r="E10" s="6">
        <f t="shared" si="0"/>
        <v>0</v>
      </c>
      <c r="F10" s="7" t="s">
        <v>142</v>
      </c>
    </row>
    <row r="11" spans="1:6" x14ac:dyDescent="0.3">
      <c r="A11" s="2" t="s">
        <v>297</v>
      </c>
      <c r="B11" s="5"/>
      <c r="C11" s="5"/>
      <c r="D11" s="5">
        <v>0</v>
      </c>
      <c r="E11" s="6">
        <f t="shared" si="0"/>
        <v>0</v>
      </c>
      <c r="F11" s="7" t="s">
        <v>142</v>
      </c>
    </row>
  </sheetData>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1"/>
  <sheetViews>
    <sheetView workbookViewId="0">
      <selection activeCell="A2" sqref="A2:A11"/>
    </sheetView>
  </sheetViews>
  <sheetFormatPr defaultRowHeight="14.4" x14ac:dyDescent="0.3"/>
  <cols>
    <col min="1" max="1" width="26" customWidth="1"/>
    <col min="2" max="2" width="18" customWidth="1"/>
    <col min="3" max="3" width="12" customWidth="1"/>
    <col min="4" max="4" width="18" customWidth="1"/>
    <col min="5" max="6" width="14" customWidth="1"/>
    <col min="7" max="7" width="12" customWidth="1"/>
    <col min="8" max="8" width="16" customWidth="1"/>
  </cols>
  <sheetData>
    <row r="1" spans="1:8" x14ac:dyDescent="0.3">
      <c r="A1" s="1" t="s">
        <v>0</v>
      </c>
      <c r="B1" s="1" t="s">
        <v>143</v>
      </c>
      <c r="C1" s="1" t="s">
        <v>144</v>
      </c>
      <c r="D1" s="1" t="s">
        <v>145</v>
      </c>
      <c r="E1" s="1" t="s">
        <v>146</v>
      </c>
      <c r="F1" s="1" t="s">
        <v>147</v>
      </c>
      <c r="G1" s="1" t="s">
        <v>148</v>
      </c>
      <c r="H1" s="1" t="s">
        <v>149</v>
      </c>
    </row>
    <row r="2" spans="1:8" x14ac:dyDescent="0.3">
      <c r="A2" t="s">
        <v>290</v>
      </c>
      <c r="B2" s="43"/>
      <c r="C2" s="44"/>
      <c r="D2" s="45"/>
      <c r="E2" s="46"/>
      <c r="F2" s="47"/>
      <c r="G2" s="48"/>
      <c r="H2" s="43"/>
    </row>
    <row r="3" spans="1:8" x14ac:dyDescent="0.3">
      <c r="A3" t="s">
        <v>289</v>
      </c>
      <c r="B3" s="43"/>
      <c r="C3" s="44"/>
      <c r="D3" s="45"/>
      <c r="E3" s="46"/>
      <c r="F3" s="47"/>
      <c r="G3" s="48"/>
      <c r="H3" s="43"/>
    </row>
    <row r="4" spans="1:8" x14ac:dyDescent="0.3">
      <c r="A4" t="s">
        <v>292</v>
      </c>
      <c r="B4" s="43"/>
      <c r="C4" s="44"/>
      <c r="D4" s="45"/>
      <c r="E4" s="46"/>
      <c r="F4" s="47"/>
      <c r="G4" s="48"/>
      <c r="H4" s="43"/>
    </row>
    <row r="5" spans="1:8" x14ac:dyDescent="0.3">
      <c r="A5" t="s">
        <v>295</v>
      </c>
      <c r="B5" s="43"/>
      <c r="C5" s="44"/>
      <c r="D5" s="45"/>
      <c r="E5" s="46"/>
      <c r="F5" s="47"/>
      <c r="G5" s="48"/>
      <c r="H5" s="43"/>
    </row>
    <row r="6" spans="1:8" x14ac:dyDescent="0.3">
      <c r="A6" t="s">
        <v>296</v>
      </c>
      <c r="B6" s="43"/>
      <c r="C6" s="44"/>
      <c r="D6" s="45"/>
      <c r="E6" s="46"/>
      <c r="F6" s="47"/>
      <c r="G6" s="48"/>
      <c r="H6" s="43"/>
    </row>
    <row r="7" spans="1:8" x14ac:dyDescent="0.3">
      <c r="A7" t="s">
        <v>291</v>
      </c>
      <c r="B7" s="43"/>
      <c r="C7" s="44"/>
      <c r="D7" s="45"/>
      <c r="E7" s="46"/>
      <c r="F7" s="47"/>
      <c r="G7" s="48"/>
      <c r="H7" s="43"/>
    </row>
    <row r="8" spans="1:8" x14ac:dyDescent="0.3">
      <c r="A8" t="s">
        <v>293</v>
      </c>
      <c r="B8" s="43"/>
      <c r="C8" s="44"/>
      <c r="D8" s="45"/>
      <c r="E8" s="46"/>
      <c r="F8" s="47"/>
      <c r="G8" s="48"/>
      <c r="H8" s="43"/>
    </row>
    <row r="9" spans="1:8" x14ac:dyDescent="0.3">
      <c r="A9" t="s">
        <v>294</v>
      </c>
      <c r="B9" s="43"/>
      <c r="C9" s="44"/>
      <c r="D9" s="45"/>
      <c r="E9" s="46"/>
      <c r="F9" s="47"/>
      <c r="G9" s="48"/>
      <c r="H9" s="43"/>
    </row>
    <row r="10" spans="1:8" x14ac:dyDescent="0.3">
      <c r="A10" t="s">
        <v>298</v>
      </c>
      <c r="B10" s="43"/>
      <c r="C10" s="44"/>
      <c r="D10" s="45"/>
      <c r="E10" s="46"/>
      <c r="F10" s="47"/>
      <c r="G10" s="48"/>
      <c r="H10" s="43"/>
    </row>
    <row r="11" spans="1:8" x14ac:dyDescent="0.3">
      <c r="A11" t="s">
        <v>297</v>
      </c>
      <c r="B11" s="43"/>
      <c r="C11" s="44"/>
      <c r="D11" s="45"/>
      <c r="E11" s="46"/>
      <c r="F11" s="47"/>
      <c r="G11" s="48"/>
      <c r="H11" s="43"/>
    </row>
  </sheetData>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
  <sheetViews>
    <sheetView workbookViewId="0">
      <selection activeCell="C25" sqref="C25"/>
    </sheetView>
  </sheetViews>
  <sheetFormatPr defaultRowHeight="14.4" x14ac:dyDescent="0.3"/>
  <cols>
    <col min="1" max="1" width="8" customWidth="1"/>
    <col min="2" max="2" width="14" customWidth="1"/>
    <col min="3" max="3" width="24" customWidth="1"/>
    <col min="4" max="4" width="44" customWidth="1"/>
    <col min="5" max="6" width="12" customWidth="1"/>
    <col min="7" max="7" width="20" customWidth="1"/>
    <col min="8" max="8" width="18" customWidth="1"/>
    <col min="9" max="9" width="14" customWidth="1"/>
    <col min="10" max="10" width="10" customWidth="1"/>
    <col min="11" max="12" width="12" customWidth="1"/>
    <col min="13" max="13" width="44" customWidth="1"/>
    <col min="14" max="14" width="10" customWidth="1"/>
  </cols>
  <sheetData>
    <row r="1" spans="1:15" x14ac:dyDescent="0.3">
      <c r="A1" s="1" t="s">
        <v>150</v>
      </c>
      <c r="B1" s="1" t="s">
        <v>151</v>
      </c>
      <c r="C1" s="1" t="s">
        <v>0</v>
      </c>
      <c r="D1" s="1" t="s">
        <v>152</v>
      </c>
      <c r="E1" s="1" t="s">
        <v>1</v>
      </c>
      <c r="F1" s="1" t="s">
        <v>153</v>
      </c>
      <c r="G1" s="1" t="s">
        <v>135</v>
      </c>
      <c r="H1" s="1" t="s">
        <v>2</v>
      </c>
      <c r="I1" s="1" t="s">
        <v>154</v>
      </c>
      <c r="J1" s="1" t="s">
        <v>155</v>
      </c>
      <c r="K1" s="1" t="s">
        <v>156</v>
      </c>
      <c r="L1" s="1" t="s">
        <v>157</v>
      </c>
      <c r="M1" s="1" t="s">
        <v>158</v>
      </c>
      <c r="N1" s="1" t="s">
        <v>9</v>
      </c>
      <c r="O1" s="1" t="s">
        <v>202</v>
      </c>
    </row>
    <row r="2" spans="1:15" x14ac:dyDescent="0.3">
      <c r="A2" t="s">
        <v>159</v>
      </c>
      <c r="B2" t="s">
        <v>160</v>
      </c>
      <c r="C2" t="s">
        <v>11</v>
      </c>
      <c r="D2" t="s">
        <v>161</v>
      </c>
      <c r="E2" t="s">
        <v>48</v>
      </c>
      <c r="F2" t="s">
        <v>162</v>
      </c>
      <c r="G2" t="s">
        <v>163</v>
      </c>
      <c r="H2" t="s">
        <v>13</v>
      </c>
      <c r="I2" t="s">
        <v>164</v>
      </c>
      <c r="J2" t="s">
        <v>165</v>
      </c>
      <c r="K2" t="s">
        <v>165</v>
      </c>
      <c r="L2" t="s">
        <v>166</v>
      </c>
      <c r="M2" t="s">
        <v>167</v>
      </c>
      <c r="N2" t="s">
        <v>168</v>
      </c>
    </row>
  </sheetData>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
  <sheetViews>
    <sheetView workbookViewId="0">
      <selection activeCell="C5" sqref="C5"/>
    </sheetView>
  </sheetViews>
  <sheetFormatPr defaultRowHeight="14.4" x14ac:dyDescent="0.3"/>
  <cols>
    <col min="1" max="1" width="19" customWidth="1"/>
    <col min="2" max="2" width="32.6640625" bestFit="1" customWidth="1"/>
    <col min="3" max="3" width="60" customWidth="1"/>
    <col min="4" max="4" width="22" customWidth="1"/>
    <col min="5" max="5" width="16" customWidth="1"/>
    <col min="6" max="6" width="14" customWidth="1"/>
  </cols>
  <sheetData>
    <row r="1" spans="1:6" x14ac:dyDescent="0.3">
      <c r="A1" s="1" t="s">
        <v>153</v>
      </c>
      <c r="B1" s="1" t="s">
        <v>169</v>
      </c>
      <c r="C1" s="1" t="s">
        <v>152</v>
      </c>
      <c r="D1" s="1" t="s">
        <v>0</v>
      </c>
      <c r="E1" s="1" t="s">
        <v>2</v>
      </c>
      <c r="F1" s="1" t="s">
        <v>170</v>
      </c>
    </row>
    <row r="2" spans="1:6" x14ac:dyDescent="0.3">
      <c r="A2" s="4" t="s">
        <v>171</v>
      </c>
      <c r="B2" s="4" t="s">
        <v>299</v>
      </c>
      <c r="C2" s="4" t="s">
        <v>300</v>
      </c>
      <c r="D2" s="4" t="s">
        <v>288</v>
      </c>
      <c r="E2" s="4" t="s">
        <v>301</v>
      </c>
      <c r="F2" s="39">
        <v>46225</v>
      </c>
    </row>
    <row r="3" spans="1:6" x14ac:dyDescent="0.3">
      <c r="A3" s="4" t="s">
        <v>172</v>
      </c>
      <c r="B3" s="4"/>
      <c r="C3" s="4"/>
      <c r="D3" s="4"/>
      <c r="E3" s="4"/>
      <c r="F3" s="4"/>
    </row>
    <row r="4" spans="1:6" x14ac:dyDescent="0.3">
      <c r="A4" s="4" t="s">
        <v>173</v>
      </c>
      <c r="B4" s="4"/>
      <c r="C4" s="4"/>
      <c r="D4" s="4"/>
      <c r="E4" s="4"/>
      <c r="F4" s="4"/>
    </row>
  </sheetData>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34"/>
  <sheetViews>
    <sheetView topLeftCell="A14" workbookViewId="0"/>
  </sheetViews>
  <sheetFormatPr defaultRowHeight="14.4" x14ac:dyDescent="0.3"/>
  <cols>
    <col min="1" max="1" width="112" customWidth="1"/>
  </cols>
  <sheetData>
    <row r="1" spans="1:1" x14ac:dyDescent="0.3">
      <c r="A1" s="8" t="s">
        <v>174</v>
      </c>
    </row>
    <row r="2" spans="1:1" x14ac:dyDescent="0.3">
      <c r="A2" s="2"/>
    </row>
    <row r="3" spans="1:1" x14ac:dyDescent="0.3">
      <c r="A3" s="2" t="s">
        <v>175</v>
      </c>
    </row>
    <row r="4" spans="1:1" x14ac:dyDescent="0.3">
      <c r="A4" s="2" t="s">
        <v>176</v>
      </c>
    </row>
    <row r="5" spans="1:1" x14ac:dyDescent="0.3">
      <c r="A5" s="2"/>
    </row>
    <row r="6" spans="1:1" x14ac:dyDescent="0.3">
      <c r="A6" s="2" t="s">
        <v>177</v>
      </c>
    </row>
    <row r="7" spans="1:1" x14ac:dyDescent="0.3">
      <c r="A7" s="2" t="s">
        <v>178</v>
      </c>
    </row>
    <row r="8" spans="1:1" x14ac:dyDescent="0.3">
      <c r="A8" s="2" t="s">
        <v>179</v>
      </c>
    </row>
    <row r="9" spans="1:1" x14ac:dyDescent="0.3">
      <c r="A9" s="2" t="s">
        <v>180</v>
      </c>
    </row>
    <row r="10" spans="1:1" x14ac:dyDescent="0.3">
      <c r="A10" s="2" t="s">
        <v>181</v>
      </c>
    </row>
    <row r="11" spans="1:1" x14ac:dyDescent="0.3">
      <c r="A11" s="2"/>
    </row>
    <row r="12" spans="1:1" x14ac:dyDescent="0.3">
      <c r="A12" s="2" t="s">
        <v>182</v>
      </c>
    </row>
    <row r="13" spans="1:1" x14ac:dyDescent="0.3">
      <c r="A13" s="2" t="s">
        <v>183</v>
      </c>
    </row>
    <row r="14" spans="1:1" x14ac:dyDescent="0.3">
      <c r="A14" s="2" t="s">
        <v>184</v>
      </c>
    </row>
    <row r="15" spans="1:1" x14ac:dyDescent="0.3">
      <c r="A15" s="2"/>
    </row>
    <row r="16" spans="1:1" x14ac:dyDescent="0.3">
      <c r="A16" s="2" t="s">
        <v>185</v>
      </c>
    </row>
    <row r="17" spans="1:1" x14ac:dyDescent="0.3">
      <c r="A17" s="2" t="s">
        <v>186</v>
      </c>
    </row>
    <row r="18" spans="1:1" x14ac:dyDescent="0.3">
      <c r="A18" s="2" t="s">
        <v>187</v>
      </c>
    </row>
    <row r="19" spans="1:1" x14ac:dyDescent="0.3">
      <c r="A19" s="2"/>
    </row>
    <row r="20" spans="1:1" x14ac:dyDescent="0.3">
      <c r="A20" s="2" t="s">
        <v>188</v>
      </c>
    </row>
    <row r="21" spans="1:1" x14ac:dyDescent="0.3">
      <c r="A21" s="2" t="s">
        <v>189</v>
      </c>
    </row>
    <row r="22" spans="1:1" x14ac:dyDescent="0.3">
      <c r="A22" s="2" t="s">
        <v>190</v>
      </c>
    </row>
    <row r="23" spans="1:1" x14ac:dyDescent="0.3">
      <c r="A23" s="2" t="s">
        <v>191</v>
      </c>
    </row>
    <row r="24" spans="1:1" x14ac:dyDescent="0.3">
      <c r="A24" s="2"/>
    </row>
    <row r="25" spans="1:1" x14ac:dyDescent="0.3">
      <c r="A25" s="2" t="s">
        <v>192</v>
      </c>
    </row>
    <row r="26" spans="1:1" x14ac:dyDescent="0.3">
      <c r="A26" s="2" t="s">
        <v>193</v>
      </c>
    </row>
    <row r="27" spans="1:1" x14ac:dyDescent="0.3">
      <c r="A27" s="2" t="s">
        <v>194</v>
      </c>
    </row>
    <row r="28" spans="1:1" x14ac:dyDescent="0.3">
      <c r="A28" s="2"/>
    </row>
    <row r="29" spans="1:1" x14ac:dyDescent="0.3">
      <c r="A29" s="2" t="s">
        <v>195</v>
      </c>
    </row>
    <row r="30" spans="1:1" x14ac:dyDescent="0.3">
      <c r="A30" s="2" t="s">
        <v>196</v>
      </c>
    </row>
    <row r="31" spans="1:1" x14ac:dyDescent="0.3">
      <c r="A31" s="2" t="s">
        <v>197</v>
      </c>
    </row>
    <row r="32" spans="1:1" x14ac:dyDescent="0.3">
      <c r="A32" s="2"/>
    </row>
    <row r="33" spans="1:1" x14ac:dyDescent="0.3">
      <c r="A33" s="2" t="s">
        <v>198</v>
      </c>
    </row>
    <row r="34" spans="1:1" x14ac:dyDescent="0.3">
      <c r="A34" s="2" t="s">
        <v>199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ACDD-987A-4A8A-86D9-948C71224437}">
  <dimension ref="A1:M11"/>
  <sheetViews>
    <sheetView topLeftCell="I1" zoomScaleNormal="100" workbookViewId="0">
      <pane ySplit="1" topLeftCell="A2" activePane="bottomLeft" state="frozen"/>
      <selection pane="bottomLeft" activeCell="F8" sqref="F8"/>
    </sheetView>
  </sheetViews>
  <sheetFormatPr defaultColWidth="8.6640625" defaultRowHeight="14.4" x14ac:dyDescent="0.3"/>
  <cols>
    <col min="1" max="1" width="8" style="10" customWidth="1"/>
    <col min="2" max="2" width="14" style="10" customWidth="1"/>
    <col min="3" max="3" width="72.88671875" style="10" customWidth="1"/>
    <col min="4" max="4" width="20" style="10" customWidth="1"/>
    <col min="5" max="5" width="12" style="10" customWidth="1"/>
    <col min="6" max="7" width="16" style="10" customWidth="1"/>
    <col min="8" max="8" width="15" style="10" customWidth="1"/>
    <col min="9" max="9" width="10" style="10" customWidth="1"/>
    <col min="10" max="11" width="12" style="10" customWidth="1"/>
    <col min="12" max="12" width="114.44140625" style="10" customWidth="1"/>
    <col min="13" max="13" width="10" style="10" customWidth="1"/>
    <col min="14" max="16384" width="8.6640625" style="10"/>
  </cols>
  <sheetData>
    <row r="1" spans="1:13" ht="21.75" customHeight="1" x14ac:dyDescent="0.3">
      <c r="A1" s="9" t="s">
        <v>150</v>
      </c>
      <c r="B1" s="9" t="s">
        <v>151</v>
      </c>
      <c r="C1" s="9" t="s">
        <v>152</v>
      </c>
      <c r="D1" s="9" t="s">
        <v>1</v>
      </c>
      <c r="E1" s="9" t="s">
        <v>153</v>
      </c>
      <c r="F1" s="9" t="s">
        <v>135</v>
      </c>
      <c r="G1" s="9" t="s">
        <v>2</v>
      </c>
      <c r="H1" s="9" t="s">
        <v>154</v>
      </c>
      <c r="I1" s="9" t="s">
        <v>155</v>
      </c>
      <c r="J1" s="9" t="s">
        <v>156</v>
      </c>
      <c r="K1" s="9" t="s">
        <v>157</v>
      </c>
      <c r="L1" s="9" t="s">
        <v>158</v>
      </c>
      <c r="M1" s="9" t="s">
        <v>9</v>
      </c>
    </row>
    <row r="2" spans="1:13" ht="49.2" customHeight="1" x14ac:dyDescent="0.3">
      <c r="A2" s="11" t="s">
        <v>203</v>
      </c>
      <c r="B2" s="17">
        <v>46223</v>
      </c>
      <c r="C2" s="11" t="s">
        <v>243</v>
      </c>
      <c r="D2" s="18" t="s">
        <v>12</v>
      </c>
      <c r="E2" s="18" t="s">
        <v>262</v>
      </c>
      <c r="F2" s="18" t="s">
        <v>211</v>
      </c>
      <c r="G2" s="18" t="s">
        <v>268</v>
      </c>
      <c r="H2" s="11" t="s">
        <v>164</v>
      </c>
      <c r="I2" s="11" t="s">
        <v>165</v>
      </c>
      <c r="J2" s="11" t="s">
        <v>165</v>
      </c>
      <c r="K2" s="11" t="s">
        <v>166</v>
      </c>
      <c r="L2" s="11" t="s">
        <v>251</v>
      </c>
      <c r="M2" s="11" t="s">
        <v>168</v>
      </c>
    </row>
    <row r="3" spans="1:13" ht="30" customHeight="1" x14ac:dyDescent="0.3">
      <c r="A3" s="11" t="s">
        <v>204</v>
      </c>
      <c r="B3" s="17">
        <v>46223</v>
      </c>
      <c r="C3" s="11" t="s">
        <v>244</v>
      </c>
      <c r="D3" s="18" t="s">
        <v>260</v>
      </c>
      <c r="E3" s="18" t="s">
        <v>262</v>
      </c>
      <c r="F3" s="18" t="s">
        <v>163</v>
      </c>
      <c r="G3" s="18" t="s">
        <v>14</v>
      </c>
      <c r="H3" s="11" t="s">
        <v>205</v>
      </c>
      <c r="I3" s="11" t="s">
        <v>206</v>
      </c>
      <c r="J3" s="11" t="s">
        <v>206</v>
      </c>
      <c r="K3" s="11" t="s">
        <v>166</v>
      </c>
      <c r="L3" s="11" t="s">
        <v>252</v>
      </c>
      <c r="M3" s="11" t="s">
        <v>168</v>
      </c>
    </row>
    <row r="4" spans="1:13" ht="30" customHeight="1" x14ac:dyDescent="0.3">
      <c r="A4" s="11" t="s">
        <v>207</v>
      </c>
      <c r="B4" s="17">
        <v>46223</v>
      </c>
      <c r="C4" s="11" t="s">
        <v>238</v>
      </c>
      <c r="D4" s="18" t="s">
        <v>12</v>
      </c>
      <c r="E4" s="18" t="s">
        <v>262</v>
      </c>
      <c r="F4" s="18" t="s">
        <v>163</v>
      </c>
      <c r="G4" s="18" t="s">
        <v>14</v>
      </c>
      <c r="H4" s="11" t="s">
        <v>164</v>
      </c>
      <c r="I4" s="11" t="s">
        <v>165</v>
      </c>
      <c r="J4" s="11" t="s">
        <v>165</v>
      </c>
      <c r="K4" s="11" t="s">
        <v>166</v>
      </c>
      <c r="L4" s="11" t="s">
        <v>253</v>
      </c>
      <c r="M4" s="11" t="s">
        <v>168</v>
      </c>
    </row>
    <row r="5" spans="1:13" ht="30" customHeight="1" x14ac:dyDescent="0.3">
      <c r="A5" s="11" t="s">
        <v>208</v>
      </c>
      <c r="B5" s="17">
        <v>46223</v>
      </c>
      <c r="C5" s="11" t="s">
        <v>245</v>
      </c>
      <c r="D5" s="18" t="s">
        <v>48</v>
      </c>
      <c r="E5" s="18" t="s">
        <v>263</v>
      </c>
      <c r="F5" s="18" t="s">
        <v>211</v>
      </c>
      <c r="G5" s="18" t="s">
        <v>14</v>
      </c>
      <c r="H5" s="11" t="s">
        <v>205</v>
      </c>
      <c r="I5" s="11" t="s">
        <v>206</v>
      </c>
      <c r="J5" s="11" t="s">
        <v>206</v>
      </c>
      <c r="K5" s="11" t="s">
        <v>209</v>
      </c>
      <c r="L5" s="11" t="s">
        <v>239</v>
      </c>
      <c r="M5" s="11" t="s">
        <v>168</v>
      </c>
    </row>
    <row r="6" spans="1:13" ht="30" customHeight="1" x14ac:dyDescent="0.3">
      <c r="A6" s="11" t="s">
        <v>210</v>
      </c>
      <c r="B6" s="17">
        <v>46223</v>
      </c>
      <c r="C6" s="11" t="s">
        <v>246</v>
      </c>
      <c r="D6" s="18" t="s">
        <v>260</v>
      </c>
      <c r="E6" s="18" t="s">
        <v>264</v>
      </c>
      <c r="F6" s="11" t="s">
        <v>211</v>
      </c>
      <c r="G6" s="18" t="s">
        <v>14</v>
      </c>
      <c r="H6" s="11" t="s">
        <v>205</v>
      </c>
      <c r="I6" s="11" t="s">
        <v>165</v>
      </c>
      <c r="J6" s="11" t="s">
        <v>206</v>
      </c>
      <c r="K6" s="11" t="s">
        <v>213</v>
      </c>
      <c r="L6" s="11" t="s">
        <v>254</v>
      </c>
      <c r="M6" s="11" t="s">
        <v>168</v>
      </c>
    </row>
    <row r="7" spans="1:13" ht="30" customHeight="1" x14ac:dyDescent="0.3">
      <c r="A7" s="11" t="s">
        <v>214</v>
      </c>
      <c r="B7" s="17">
        <v>46223</v>
      </c>
      <c r="C7" s="11" t="s">
        <v>247</v>
      </c>
      <c r="D7" s="18" t="s">
        <v>260</v>
      </c>
      <c r="E7" s="18" t="s">
        <v>265</v>
      </c>
      <c r="F7" s="18" t="s">
        <v>211</v>
      </c>
      <c r="G7" s="18" t="s">
        <v>14</v>
      </c>
      <c r="H7" s="11" t="s">
        <v>212</v>
      </c>
      <c r="I7" s="11" t="s">
        <v>215</v>
      </c>
      <c r="J7" s="11" t="s">
        <v>215</v>
      </c>
      <c r="K7" s="11" t="s">
        <v>216</v>
      </c>
      <c r="L7" s="11" t="s">
        <v>240</v>
      </c>
      <c r="M7" s="11" t="s">
        <v>168</v>
      </c>
    </row>
    <row r="8" spans="1:13" x14ac:dyDescent="0.3">
      <c r="A8" s="11" t="s">
        <v>257</v>
      </c>
      <c r="B8" s="17">
        <v>46223</v>
      </c>
      <c r="C8" s="11" t="s">
        <v>241</v>
      </c>
      <c r="D8" s="18" t="s">
        <v>261</v>
      </c>
      <c r="E8" s="18" t="s">
        <v>266</v>
      </c>
      <c r="F8" s="11"/>
      <c r="G8" s="18" t="s">
        <v>105</v>
      </c>
      <c r="H8" s="11" t="s">
        <v>164</v>
      </c>
      <c r="I8" s="11"/>
      <c r="J8" s="11"/>
      <c r="K8" s="11"/>
      <c r="L8" s="11"/>
      <c r="M8" s="11" t="s">
        <v>168</v>
      </c>
    </row>
    <row r="9" spans="1:13" ht="26.4" x14ac:dyDescent="0.3">
      <c r="A9" s="11" t="s">
        <v>258</v>
      </c>
      <c r="B9" s="17">
        <v>46223</v>
      </c>
      <c r="C9" s="11" t="s">
        <v>248</v>
      </c>
      <c r="D9" s="18" t="s">
        <v>260</v>
      </c>
      <c r="E9" s="18" t="s">
        <v>266</v>
      </c>
      <c r="F9" s="11"/>
      <c r="G9" s="18" t="s">
        <v>105</v>
      </c>
      <c r="H9" s="11" t="s">
        <v>205</v>
      </c>
      <c r="I9" s="11"/>
      <c r="J9" s="11"/>
      <c r="K9" s="11"/>
      <c r="L9" s="11" t="s">
        <v>255</v>
      </c>
      <c r="M9" s="11" t="s">
        <v>168</v>
      </c>
    </row>
    <row r="10" spans="1:13" ht="26.4" x14ac:dyDescent="0.3">
      <c r="A10" s="11" t="s">
        <v>259</v>
      </c>
      <c r="B10" s="17">
        <v>46223</v>
      </c>
      <c r="C10" s="11" t="s">
        <v>249</v>
      </c>
      <c r="D10" s="18" t="s">
        <v>103</v>
      </c>
      <c r="E10" s="18" t="s">
        <v>266</v>
      </c>
      <c r="F10" s="11"/>
      <c r="G10" s="18" t="s">
        <v>105</v>
      </c>
      <c r="H10" s="11" t="s">
        <v>212</v>
      </c>
      <c r="I10" s="11"/>
      <c r="J10" s="11"/>
      <c r="K10" s="11"/>
      <c r="L10" s="11" t="s">
        <v>256</v>
      </c>
      <c r="M10" s="11" t="s">
        <v>168</v>
      </c>
    </row>
    <row r="11" spans="1:13" ht="26.4" x14ac:dyDescent="0.3">
      <c r="A11" s="11" t="s">
        <v>269</v>
      </c>
      <c r="B11" s="17">
        <v>46223</v>
      </c>
      <c r="C11" s="11" t="s">
        <v>250</v>
      </c>
      <c r="D11" s="11" t="s">
        <v>48</v>
      </c>
      <c r="E11" s="11" t="s">
        <v>267</v>
      </c>
      <c r="F11" s="11"/>
      <c r="G11" s="11" t="s">
        <v>14</v>
      </c>
      <c r="H11" s="11" t="s">
        <v>164</v>
      </c>
      <c r="I11" s="11"/>
      <c r="J11" s="11"/>
      <c r="K11" s="11"/>
      <c r="L11" s="11" t="s">
        <v>242</v>
      </c>
      <c r="M11" s="11" t="s">
        <v>168</v>
      </c>
    </row>
  </sheetData>
  <phoneticPr fontId="10" type="noConversion"/>
  <pageMargins left="0.75" right="0.75" top="1" bottom="1" header="0.511811023622047" footer="0.511811023622047"/>
  <pageSetup paperSize="9"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CD67-ABD7-4766-85C9-110858CF3095}">
  <dimension ref="A1:F101"/>
  <sheetViews>
    <sheetView zoomScaleNormal="100" workbookViewId="0">
      <pane ySplit="1" topLeftCell="A2" activePane="bottomLeft" state="frozen"/>
      <selection pane="bottomLeft" activeCell="D99" sqref="D99"/>
    </sheetView>
  </sheetViews>
  <sheetFormatPr defaultColWidth="8.6640625" defaultRowHeight="14.4" x14ac:dyDescent="0.3"/>
  <cols>
    <col min="1" max="1" width="12" style="10" customWidth="1"/>
    <col min="2" max="2" width="22" style="10" customWidth="1"/>
    <col min="3" max="3" width="20" style="10" customWidth="1"/>
    <col min="4" max="5" width="14" style="10" customWidth="1"/>
    <col min="6" max="6" width="40" style="10" customWidth="1"/>
    <col min="7" max="16384" width="8.6640625" style="10"/>
  </cols>
  <sheetData>
    <row r="1" spans="1:6" ht="21.75" customHeight="1" thickBot="1" x14ac:dyDescent="0.35">
      <c r="A1" s="21" t="s">
        <v>217</v>
      </c>
      <c r="B1" s="21" t="s">
        <v>218</v>
      </c>
      <c r="C1" s="21" t="s">
        <v>219</v>
      </c>
      <c r="D1" s="21" t="s">
        <v>220</v>
      </c>
      <c r="E1" s="21" t="s">
        <v>139</v>
      </c>
      <c r="F1" s="21" t="s">
        <v>137</v>
      </c>
    </row>
    <row r="2" spans="1:6" x14ac:dyDescent="0.3">
      <c r="A2" s="24" t="s">
        <v>221</v>
      </c>
      <c r="B2" s="25" t="s">
        <v>222</v>
      </c>
      <c r="C2" s="25" t="s">
        <v>223</v>
      </c>
      <c r="D2" s="26">
        <v>151846.41999999998</v>
      </c>
      <c r="E2" s="26">
        <v>112482.14</v>
      </c>
      <c r="F2" s="27"/>
    </row>
    <row r="3" spans="1:6" x14ac:dyDescent="0.3">
      <c r="A3" s="28" t="s">
        <v>227</v>
      </c>
      <c r="B3" s="11" t="s">
        <v>222</v>
      </c>
      <c r="C3" s="11" t="s">
        <v>223</v>
      </c>
      <c r="D3" s="41">
        <v>112482.14</v>
      </c>
      <c r="E3" s="40">
        <v>112482.14</v>
      </c>
      <c r="F3" s="29"/>
    </row>
    <row r="4" spans="1:6" x14ac:dyDescent="0.3">
      <c r="A4" s="28" t="s">
        <v>228</v>
      </c>
      <c r="B4" s="11" t="s">
        <v>222</v>
      </c>
      <c r="C4" s="11" t="s">
        <v>223</v>
      </c>
      <c r="D4" s="41">
        <v>151846.41999999998</v>
      </c>
      <c r="E4" s="40">
        <v>119042.85333333333</v>
      </c>
      <c r="F4" s="29"/>
    </row>
    <row r="5" spans="1:6" x14ac:dyDescent="0.3">
      <c r="A5" s="28" t="s">
        <v>229</v>
      </c>
      <c r="B5" s="11" t="s">
        <v>222</v>
      </c>
      <c r="C5" s="11" t="s">
        <v>223</v>
      </c>
      <c r="D5" s="41">
        <v>151846.41999999998</v>
      </c>
      <c r="E5" s="40">
        <v>140693.20733333332</v>
      </c>
      <c r="F5" s="29"/>
    </row>
    <row r="6" spans="1:6" x14ac:dyDescent="0.3">
      <c r="A6" s="28" t="s">
        <v>230</v>
      </c>
      <c r="B6" s="11" t="s">
        <v>222</v>
      </c>
      <c r="C6" s="11" t="s">
        <v>223</v>
      </c>
      <c r="D6" s="41">
        <v>151846.41999999998</v>
      </c>
      <c r="E6" s="40">
        <v>151846.41999999998</v>
      </c>
      <c r="F6" s="29"/>
    </row>
    <row r="7" spans="1:6" x14ac:dyDescent="0.3">
      <c r="A7" s="28" t="s">
        <v>270</v>
      </c>
      <c r="B7" s="11" t="s">
        <v>222</v>
      </c>
      <c r="C7" s="11" t="s">
        <v>223</v>
      </c>
      <c r="D7" s="41">
        <v>151846.41999999998</v>
      </c>
      <c r="E7" s="40">
        <v>171528.56</v>
      </c>
      <c r="F7" s="29"/>
    </row>
    <row r="8" spans="1:6" x14ac:dyDescent="0.3">
      <c r="A8" s="28" t="s">
        <v>271</v>
      </c>
      <c r="B8" s="11" t="s">
        <v>222</v>
      </c>
      <c r="C8" s="11" t="s">
        <v>223</v>
      </c>
      <c r="D8" s="41">
        <v>176846.41999999998</v>
      </c>
      <c r="E8" s="40">
        <v>176846.41999999998</v>
      </c>
      <c r="F8" s="29"/>
    </row>
    <row r="9" spans="1:6" x14ac:dyDescent="0.3">
      <c r="A9" s="28" t="s">
        <v>272</v>
      </c>
      <c r="B9" s="11" t="s">
        <v>222</v>
      </c>
      <c r="C9" s="11" t="s">
        <v>223</v>
      </c>
      <c r="D9" s="41">
        <v>176846.41999999998</v>
      </c>
      <c r="E9" s="40">
        <v>176846.41999999998</v>
      </c>
      <c r="F9" s="29"/>
    </row>
    <row r="10" spans="1:6" x14ac:dyDescent="0.3">
      <c r="A10" s="28" t="s">
        <v>273</v>
      </c>
      <c r="B10" s="11" t="s">
        <v>222</v>
      </c>
      <c r="C10" s="11" t="s">
        <v>223</v>
      </c>
      <c r="D10" s="41">
        <v>176846.41999999998</v>
      </c>
      <c r="E10" s="40">
        <v>176846.41999999998</v>
      </c>
      <c r="F10" s="29"/>
    </row>
    <row r="11" spans="1:6" x14ac:dyDescent="0.3">
      <c r="A11" s="28" t="s">
        <v>274</v>
      </c>
      <c r="B11" s="11" t="s">
        <v>222</v>
      </c>
      <c r="C11" s="11" t="s">
        <v>223</v>
      </c>
      <c r="D11" s="41">
        <v>144046.41999999998</v>
      </c>
      <c r="E11" s="40">
        <v>144046.41999999998</v>
      </c>
      <c r="F11" s="29"/>
    </row>
    <row r="12" spans="1:6" x14ac:dyDescent="0.3">
      <c r="A12" s="30" t="s">
        <v>275</v>
      </c>
      <c r="B12" s="11" t="s">
        <v>222</v>
      </c>
      <c r="C12" s="11" t="s">
        <v>223</v>
      </c>
      <c r="D12" s="41">
        <v>144046.41999999998</v>
      </c>
      <c r="E12" s="40">
        <v>144046.41999999998</v>
      </c>
      <c r="F12" s="29"/>
    </row>
    <row r="13" spans="1:6" x14ac:dyDescent="0.3">
      <c r="A13" s="30" t="s">
        <v>276</v>
      </c>
      <c r="B13" s="11" t="s">
        <v>222</v>
      </c>
      <c r="C13" s="11" t="s">
        <v>223</v>
      </c>
      <c r="D13" s="41">
        <v>144046.41999999998</v>
      </c>
      <c r="E13" s="40">
        <v>144046.41999999998</v>
      </c>
      <c r="F13" s="29"/>
    </row>
    <row r="14" spans="1:6" x14ac:dyDescent="0.3">
      <c r="A14" s="30" t="s">
        <v>277</v>
      </c>
      <c r="B14" s="11" t="s">
        <v>222</v>
      </c>
      <c r="C14" s="11" t="s">
        <v>223</v>
      </c>
      <c r="D14" s="41">
        <v>144046.41999999998</v>
      </c>
      <c r="E14" s="40">
        <v>144046.41999999998</v>
      </c>
      <c r="F14" s="29"/>
    </row>
    <row r="15" spans="1:6" x14ac:dyDescent="0.3">
      <c r="A15" s="30" t="s">
        <v>278</v>
      </c>
      <c r="B15" s="11" t="s">
        <v>222</v>
      </c>
      <c r="C15" s="11" t="s">
        <v>223</v>
      </c>
      <c r="D15" s="41">
        <v>144046.41999999998</v>
      </c>
      <c r="E15" s="40">
        <v>144046.41999999998</v>
      </c>
      <c r="F15" s="29"/>
    </row>
    <row r="16" spans="1:6" x14ac:dyDescent="0.3">
      <c r="A16" s="30" t="s">
        <v>279</v>
      </c>
      <c r="B16" s="11" t="s">
        <v>222</v>
      </c>
      <c r="C16" s="11" t="s">
        <v>223</v>
      </c>
      <c r="D16" s="41">
        <v>144046.41999999998</v>
      </c>
      <c r="E16" s="40">
        <v>144046.41999999998</v>
      </c>
      <c r="F16" s="29"/>
    </row>
    <row r="17" spans="1:6" x14ac:dyDescent="0.3">
      <c r="A17" s="30" t="s">
        <v>280</v>
      </c>
      <c r="B17" s="11" t="s">
        <v>222</v>
      </c>
      <c r="C17" s="11" t="s">
        <v>223</v>
      </c>
      <c r="D17" s="41">
        <v>144046.41999999998</v>
      </c>
      <c r="E17" s="40">
        <v>144046.41999999998</v>
      </c>
      <c r="F17" s="29"/>
    </row>
    <row r="18" spans="1:6" x14ac:dyDescent="0.3">
      <c r="A18" s="30" t="s">
        <v>281</v>
      </c>
      <c r="B18" s="11" t="s">
        <v>222</v>
      </c>
      <c r="C18" s="11" t="s">
        <v>223</v>
      </c>
      <c r="D18" s="41">
        <v>144046.41999999998</v>
      </c>
      <c r="E18" s="40">
        <v>144046.41999999998</v>
      </c>
      <c r="F18" s="29"/>
    </row>
    <row r="19" spans="1:6" x14ac:dyDescent="0.3">
      <c r="A19" s="30" t="s">
        <v>282</v>
      </c>
      <c r="B19" s="11" t="s">
        <v>222</v>
      </c>
      <c r="C19" s="11" t="s">
        <v>223</v>
      </c>
      <c r="D19" s="41">
        <v>144046.41999999998</v>
      </c>
      <c r="E19" s="40">
        <v>144046.41999999998</v>
      </c>
      <c r="F19" s="29"/>
    </row>
    <row r="20" spans="1:6" x14ac:dyDescent="0.3">
      <c r="A20" s="30" t="s">
        <v>283</v>
      </c>
      <c r="B20" s="11" t="s">
        <v>222</v>
      </c>
      <c r="C20" s="11" t="s">
        <v>223</v>
      </c>
      <c r="D20" s="41">
        <v>144046.41999999998</v>
      </c>
      <c r="E20" s="40">
        <v>144046.41999999998</v>
      </c>
      <c r="F20" s="29"/>
    </row>
    <row r="21" spans="1:6" x14ac:dyDescent="0.3">
      <c r="A21" s="30" t="s">
        <v>284</v>
      </c>
      <c r="B21" s="11" t="s">
        <v>222</v>
      </c>
      <c r="C21" s="11" t="s">
        <v>223</v>
      </c>
      <c r="D21" s="41">
        <v>144046.41999999998</v>
      </c>
      <c r="E21" s="40">
        <v>144046.41999999998</v>
      </c>
      <c r="F21" s="29"/>
    </row>
    <row r="22" spans="1:6" x14ac:dyDescent="0.3">
      <c r="A22" s="30" t="s">
        <v>285</v>
      </c>
      <c r="B22" s="11" t="s">
        <v>222</v>
      </c>
      <c r="C22" s="11" t="s">
        <v>223</v>
      </c>
      <c r="D22" s="41">
        <v>144046.41999999998</v>
      </c>
      <c r="E22" s="40">
        <v>144046.41999999998</v>
      </c>
      <c r="F22" s="29"/>
    </row>
    <row r="23" spans="1:6" x14ac:dyDescent="0.3">
      <c r="A23" s="30" t="s">
        <v>286</v>
      </c>
      <c r="B23" s="11" t="s">
        <v>222</v>
      </c>
      <c r="C23" s="11" t="s">
        <v>223</v>
      </c>
      <c r="D23" s="41">
        <v>144046.41999999998</v>
      </c>
      <c r="E23" s="40">
        <v>144046.41999999998</v>
      </c>
      <c r="F23" s="29"/>
    </row>
    <row r="24" spans="1:6" ht="15" thickBot="1" x14ac:dyDescent="0.35">
      <c r="A24" s="31" t="s">
        <v>287</v>
      </c>
      <c r="B24" s="32" t="s">
        <v>222</v>
      </c>
      <c r="C24" s="32" t="s">
        <v>223</v>
      </c>
      <c r="D24" s="41">
        <v>144046.41999999998</v>
      </c>
      <c r="E24" s="40">
        <v>144046.41999999998</v>
      </c>
      <c r="F24" s="34"/>
    </row>
    <row r="25" spans="1:6" x14ac:dyDescent="0.3">
      <c r="A25" s="24" t="s">
        <v>221</v>
      </c>
      <c r="B25" s="25" t="s">
        <v>224</v>
      </c>
      <c r="C25" s="25" t="s">
        <v>223</v>
      </c>
      <c r="D25" s="42">
        <v>5600</v>
      </c>
      <c r="E25" s="40">
        <v>5600</v>
      </c>
      <c r="F25" s="27"/>
    </row>
    <row r="26" spans="1:6" x14ac:dyDescent="0.3">
      <c r="A26" s="28" t="s">
        <v>227</v>
      </c>
      <c r="B26" s="11" t="s">
        <v>224</v>
      </c>
      <c r="C26" s="11" t="s">
        <v>223</v>
      </c>
      <c r="D26" s="42">
        <v>12000</v>
      </c>
      <c r="E26" s="40">
        <v>6590</v>
      </c>
      <c r="F26" s="29"/>
    </row>
    <row r="27" spans="1:6" x14ac:dyDescent="0.3">
      <c r="A27" s="28" t="s">
        <v>228</v>
      </c>
      <c r="B27" s="11" t="s">
        <v>224</v>
      </c>
      <c r="C27" s="11" t="s">
        <v>223</v>
      </c>
      <c r="D27" s="42">
        <v>12000</v>
      </c>
      <c r="E27" s="40">
        <v>8900</v>
      </c>
      <c r="F27" s="29"/>
    </row>
    <row r="28" spans="1:6" x14ac:dyDescent="0.3">
      <c r="A28" s="28" t="s">
        <v>229</v>
      </c>
      <c r="B28" s="11" t="s">
        <v>224</v>
      </c>
      <c r="C28" s="11" t="s">
        <v>223</v>
      </c>
      <c r="D28" s="42">
        <v>14200</v>
      </c>
      <c r="E28" s="40">
        <v>10000</v>
      </c>
      <c r="F28" s="29"/>
    </row>
    <row r="29" spans="1:6" x14ac:dyDescent="0.3">
      <c r="A29" s="28" t="s">
        <v>230</v>
      </c>
      <c r="B29" s="11" t="s">
        <v>224</v>
      </c>
      <c r="C29" s="11" t="s">
        <v>223</v>
      </c>
      <c r="D29" s="42">
        <v>14200</v>
      </c>
      <c r="E29" s="40">
        <v>11650</v>
      </c>
      <c r="F29" s="29"/>
    </row>
    <row r="30" spans="1:6" x14ac:dyDescent="0.3">
      <c r="A30" s="28" t="s">
        <v>270</v>
      </c>
      <c r="B30" s="11" t="s">
        <v>224</v>
      </c>
      <c r="C30" s="11" t="s">
        <v>223</v>
      </c>
      <c r="D30" s="42">
        <v>14200</v>
      </c>
      <c r="E30" s="40">
        <v>14200</v>
      </c>
      <c r="F30" s="29"/>
    </row>
    <row r="31" spans="1:6" x14ac:dyDescent="0.3">
      <c r="A31" s="28" t="s">
        <v>271</v>
      </c>
      <c r="B31" s="11" t="s">
        <v>224</v>
      </c>
      <c r="C31" s="11" t="s">
        <v>223</v>
      </c>
      <c r="D31" s="42">
        <v>14200</v>
      </c>
      <c r="E31" s="40">
        <v>14200</v>
      </c>
      <c r="F31" s="29"/>
    </row>
    <row r="32" spans="1:6" x14ac:dyDescent="0.3">
      <c r="A32" s="28" t="s">
        <v>272</v>
      </c>
      <c r="B32" s="11" t="s">
        <v>224</v>
      </c>
      <c r="C32" s="11" t="s">
        <v>223</v>
      </c>
      <c r="D32" s="42">
        <v>14200</v>
      </c>
      <c r="E32" s="40">
        <v>14200</v>
      </c>
      <c r="F32" s="29"/>
    </row>
    <row r="33" spans="1:6" x14ac:dyDescent="0.3">
      <c r="A33" s="28" t="s">
        <v>273</v>
      </c>
      <c r="B33" s="11" t="s">
        <v>224</v>
      </c>
      <c r="C33" s="11" t="s">
        <v>223</v>
      </c>
      <c r="D33" s="42">
        <v>14000</v>
      </c>
      <c r="E33" s="40">
        <v>14000</v>
      </c>
      <c r="F33" s="29"/>
    </row>
    <row r="34" spans="1:6" x14ac:dyDescent="0.3">
      <c r="A34" s="28" t="s">
        <v>274</v>
      </c>
      <c r="B34" s="11" t="s">
        <v>224</v>
      </c>
      <c r="C34" s="11" t="s">
        <v>223</v>
      </c>
      <c r="D34" s="42">
        <v>14000</v>
      </c>
      <c r="E34" s="40">
        <v>14000</v>
      </c>
      <c r="F34" s="29"/>
    </row>
    <row r="35" spans="1:6" x14ac:dyDescent="0.3">
      <c r="A35" s="30" t="s">
        <v>275</v>
      </c>
      <c r="B35" s="11" t="s">
        <v>224</v>
      </c>
      <c r="C35" s="11" t="s">
        <v>223</v>
      </c>
      <c r="D35" s="42">
        <v>14000</v>
      </c>
      <c r="E35" s="40">
        <v>14000</v>
      </c>
      <c r="F35" s="29"/>
    </row>
    <row r="36" spans="1:6" x14ac:dyDescent="0.3">
      <c r="A36" s="30" t="s">
        <v>276</v>
      </c>
      <c r="B36" s="11" t="s">
        <v>224</v>
      </c>
      <c r="C36" s="11" t="s">
        <v>223</v>
      </c>
      <c r="D36" s="42">
        <v>14000</v>
      </c>
      <c r="E36" s="40">
        <v>14000</v>
      </c>
      <c r="F36" s="29"/>
    </row>
    <row r="37" spans="1:6" x14ac:dyDescent="0.3">
      <c r="A37" s="30" t="s">
        <v>277</v>
      </c>
      <c r="B37" s="11" t="s">
        <v>224</v>
      </c>
      <c r="C37" s="11" t="s">
        <v>223</v>
      </c>
      <c r="D37" s="42">
        <v>14000</v>
      </c>
      <c r="E37" s="40">
        <v>14000</v>
      </c>
      <c r="F37" s="29"/>
    </row>
    <row r="38" spans="1:6" x14ac:dyDescent="0.3">
      <c r="A38" s="30" t="s">
        <v>278</v>
      </c>
      <c r="B38" s="11" t="s">
        <v>224</v>
      </c>
      <c r="C38" s="11" t="s">
        <v>223</v>
      </c>
      <c r="D38" s="42">
        <v>14000</v>
      </c>
      <c r="E38" s="40">
        <v>14000</v>
      </c>
      <c r="F38" s="29"/>
    </row>
    <row r="39" spans="1:6" x14ac:dyDescent="0.3">
      <c r="A39" s="30" t="s">
        <v>279</v>
      </c>
      <c r="B39" s="11" t="s">
        <v>224</v>
      </c>
      <c r="C39" s="11" t="s">
        <v>223</v>
      </c>
      <c r="D39" s="42">
        <v>14000</v>
      </c>
      <c r="E39" s="40">
        <v>14000</v>
      </c>
      <c r="F39" s="29"/>
    </row>
    <row r="40" spans="1:6" x14ac:dyDescent="0.3">
      <c r="A40" s="30" t="s">
        <v>280</v>
      </c>
      <c r="B40" s="11" t="s">
        <v>224</v>
      </c>
      <c r="C40" s="11" t="s">
        <v>223</v>
      </c>
      <c r="D40" s="42">
        <v>14000</v>
      </c>
      <c r="E40" s="40">
        <v>14000</v>
      </c>
      <c r="F40" s="29"/>
    </row>
    <row r="41" spans="1:6" x14ac:dyDescent="0.3">
      <c r="A41" s="30" t="s">
        <v>281</v>
      </c>
      <c r="B41" s="11" t="s">
        <v>224</v>
      </c>
      <c r="C41" s="11" t="s">
        <v>223</v>
      </c>
      <c r="D41" s="42">
        <v>14000</v>
      </c>
      <c r="E41" s="40">
        <v>14000</v>
      </c>
      <c r="F41" s="29"/>
    </row>
    <row r="42" spans="1:6" x14ac:dyDescent="0.3">
      <c r="A42" s="30" t="s">
        <v>282</v>
      </c>
      <c r="B42" s="11" t="s">
        <v>224</v>
      </c>
      <c r="C42" s="11" t="s">
        <v>223</v>
      </c>
      <c r="D42" s="42">
        <v>14000</v>
      </c>
      <c r="E42" s="40">
        <v>14000</v>
      </c>
      <c r="F42" s="29"/>
    </row>
    <row r="43" spans="1:6" x14ac:dyDescent="0.3">
      <c r="A43" s="30" t="s">
        <v>283</v>
      </c>
      <c r="B43" s="11" t="s">
        <v>224</v>
      </c>
      <c r="C43" s="11" t="s">
        <v>223</v>
      </c>
      <c r="D43" s="42">
        <v>14000</v>
      </c>
      <c r="E43" s="40">
        <v>14000</v>
      </c>
      <c r="F43" s="29"/>
    </row>
    <row r="44" spans="1:6" x14ac:dyDescent="0.3">
      <c r="A44" s="30" t="s">
        <v>284</v>
      </c>
      <c r="B44" s="11" t="s">
        <v>224</v>
      </c>
      <c r="C44" s="11" t="s">
        <v>223</v>
      </c>
      <c r="D44" s="42">
        <v>14000</v>
      </c>
      <c r="E44" s="40">
        <v>14000</v>
      </c>
      <c r="F44" s="29"/>
    </row>
    <row r="45" spans="1:6" x14ac:dyDescent="0.3">
      <c r="A45" s="30" t="s">
        <v>285</v>
      </c>
      <c r="B45" s="11" t="s">
        <v>224</v>
      </c>
      <c r="C45" s="11" t="s">
        <v>223</v>
      </c>
      <c r="D45" s="42">
        <v>14000</v>
      </c>
      <c r="E45" s="40">
        <v>14000</v>
      </c>
      <c r="F45" s="29"/>
    </row>
    <row r="46" spans="1:6" x14ac:dyDescent="0.3">
      <c r="A46" s="30" t="s">
        <v>286</v>
      </c>
      <c r="B46" s="11" t="s">
        <v>224</v>
      </c>
      <c r="C46" s="11" t="s">
        <v>223</v>
      </c>
      <c r="D46" s="42">
        <v>14000</v>
      </c>
      <c r="E46" s="40">
        <v>14000</v>
      </c>
      <c r="F46" s="29"/>
    </row>
    <row r="47" spans="1:6" ht="15" thickBot="1" x14ac:dyDescent="0.35">
      <c r="A47" s="35" t="s">
        <v>287</v>
      </c>
      <c r="B47" s="36" t="s">
        <v>224</v>
      </c>
      <c r="C47" s="36" t="s">
        <v>223</v>
      </c>
      <c r="D47" s="42">
        <v>14000</v>
      </c>
      <c r="E47" s="40">
        <v>14000</v>
      </c>
      <c r="F47" s="37"/>
    </row>
    <row r="48" spans="1:6" x14ac:dyDescent="0.3">
      <c r="A48" s="24" t="s">
        <v>221</v>
      </c>
      <c r="B48" s="25" t="s">
        <v>225</v>
      </c>
      <c r="C48" s="25" t="s">
        <v>223</v>
      </c>
      <c r="D48" s="26">
        <v>0</v>
      </c>
      <c r="E48" s="26">
        <v>0</v>
      </c>
      <c r="F48" s="27"/>
    </row>
    <row r="49" spans="1:6" x14ac:dyDescent="0.3">
      <c r="A49" s="28" t="s">
        <v>227</v>
      </c>
      <c r="B49" s="11" t="s">
        <v>225</v>
      </c>
      <c r="C49" s="11" t="s">
        <v>223</v>
      </c>
      <c r="D49" s="12">
        <v>3600</v>
      </c>
      <c r="E49" s="12">
        <v>3600</v>
      </c>
      <c r="F49" s="29"/>
    </row>
    <row r="50" spans="1:6" x14ac:dyDescent="0.3">
      <c r="A50" s="28" t="s">
        <v>228</v>
      </c>
      <c r="B50" s="11" t="s">
        <v>225</v>
      </c>
      <c r="C50" s="11" t="s">
        <v>223</v>
      </c>
      <c r="D50" s="12">
        <v>7200</v>
      </c>
      <c r="E50" s="12">
        <v>3600</v>
      </c>
      <c r="F50" s="29"/>
    </row>
    <row r="51" spans="1:6" x14ac:dyDescent="0.3">
      <c r="A51" s="28" t="s">
        <v>229</v>
      </c>
      <c r="B51" s="11" t="s">
        <v>225</v>
      </c>
      <c r="C51" s="11" t="s">
        <v>223</v>
      </c>
      <c r="D51" s="12">
        <v>7200</v>
      </c>
      <c r="E51" s="12">
        <v>7200</v>
      </c>
      <c r="F51" s="29"/>
    </row>
    <row r="52" spans="1:6" x14ac:dyDescent="0.3">
      <c r="A52" s="28" t="s">
        <v>230</v>
      </c>
      <c r="B52" s="11" t="s">
        <v>225</v>
      </c>
      <c r="C52" s="11" t="s">
        <v>223</v>
      </c>
      <c r="D52" s="12">
        <v>10800</v>
      </c>
      <c r="E52" s="12">
        <v>7200</v>
      </c>
      <c r="F52" s="29"/>
    </row>
    <row r="53" spans="1:6" x14ac:dyDescent="0.3">
      <c r="A53" s="28" t="s">
        <v>270</v>
      </c>
      <c r="B53" s="11" t="s">
        <v>225</v>
      </c>
      <c r="C53" s="11" t="s">
        <v>223</v>
      </c>
      <c r="D53" s="12">
        <v>10800</v>
      </c>
      <c r="E53" s="12">
        <v>10800</v>
      </c>
      <c r="F53" s="29"/>
    </row>
    <row r="54" spans="1:6" x14ac:dyDescent="0.3">
      <c r="A54" s="28" t="s">
        <v>271</v>
      </c>
      <c r="B54" s="11" t="s">
        <v>225</v>
      </c>
      <c r="C54" s="11" t="s">
        <v>223</v>
      </c>
      <c r="D54" s="12">
        <v>10800</v>
      </c>
      <c r="E54" s="12">
        <v>10800</v>
      </c>
      <c r="F54" s="29"/>
    </row>
    <row r="55" spans="1:6" x14ac:dyDescent="0.3">
      <c r="A55" s="28" t="s">
        <v>272</v>
      </c>
      <c r="B55" s="11" t="s">
        <v>225</v>
      </c>
      <c r="C55" s="11" t="s">
        <v>223</v>
      </c>
      <c r="D55" s="12">
        <v>10800</v>
      </c>
      <c r="E55" s="12">
        <v>10800</v>
      </c>
      <c r="F55" s="29"/>
    </row>
    <row r="56" spans="1:6" x14ac:dyDescent="0.3">
      <c r="A56" s="28" t="s">
        <v>273</v>
      </c>
      <c r="B56" s="11" t="s">
        <v>225</v>
      </c>
      <c r="C56" s="11" t="s">
        <v>223</v>
      </c>
      <c r="D56" s="12">
        <v>14400</v>
      </c>
      <c r="E56" s="12">
        <v>14400</v>
      </c>
      <c r="F56" s="29"/>
    </row>
    <row r="57" spans="1:6" x14ac:dyDescent="0.3">
      <c r="A57" s="28" t="s">
        <v>274</v>
      </c>
      <c r="B57" s="11" t="s">
        <v>225</v>
      </c>
      <c r="C57" s="11" t="s">
        <v>223</v>
      </c>
      <c r="D57" s="12">
        <v>14400</v>
      </c>
      <c r="E57" s="12">
        <v>14400</v>
      </c>
      <c r="F57" s="29"/>
    </row>
    <row r="58" spans="1:6" x14ac:dyDescent="0.3">
      <c r="A58" s="30" t="s">
        <v>275</v>
      </c>
      <c r="B58" s="11" t="s">
        <v>225</v>
      </c>
      <c r="C58" s="11" t="s">
        <v>223</v>
      </c>
      <c r="D58" s="12">
        <v>14400</v>
      </c>
      <c r="E58" s="12">
        <v>14400</v>
      </c>
      <c r="F58" s="29"/>
    </row>
    <row r="59" spans="1:6" x14ac:dyDescent="0.3">
      <c r="A59" s="30" t="s">
        <v>276</v>
      </c>
      <c r="B59" s="11" t="s">
        <v>225</v>
      </c>
      <c r="C59" s="11" t="s">
        <v>223</v>
      </c>
      <c r="D59" s="12">
        <v>14400</v>
      </c>
      <c r="E59" s="12">
        <v>14400</v>
      </c>
      <c r="F59" s="29"/>
    </row>
    <row r="60" spans="1:6" x14ac:dyDescent="0.3">
      <c r="A60" s="30" t="s">
        <v>277</v>
      </c>
      <c r="B60" s="11" t="s">
        <v>225</v>
      </c>
      <c r="C60" s="11" t="s">
        <v>223</v>
      </c>
      <c r="D60" s="12">
        <v>14400</v>
      </c>
      <c r="E60" s="12">
        <v>14400</v>
      </c>
      <c r="F60" s="29"/>
    </row>
    <row r="61" spans="1:6" x14ac:dyDescent="0.3">
      <c r="A61" s="30" t="s">
        <v>278</v>
      </c>
      <c r="B61" s="11" t="s">
        <v>225</v>
      </c>
      <c r="C61" s="11" t="s">
        <v>223</v>
      </c>
      <c r="D61" s="12">
        <v>14400</v>
      </c>
      <c r="E61" s="12">
        <v>14400</v>
      </c>
      <c r="F61" s="29"/>
    </row>
    <row r="62" spans="1:6" x14ac:dyDescent="0.3">
      <c r="A62" s="30" t="s">
        <v>279</v>
      </c>
      <c r="B62" s="11" t="s">
        <v>225</v>
      </c>
      <c r="C62" s="11" t="s">
        <v>223</v>
      </c>
      <c r="D62" s="12">
        <v>14400</v>
      </c>
      <c r="E62" s="12">
        <v>14400</v>
      </c>
      <c r="F62" s="29"/>
    </row>
    <row r="63" spans="1:6" x14ac:dyDescent="0.3">
      <c r="A63" s="30" t="s">
        <v>280</v>
      </c>
      <c r="B63" s="11" t="s">
        <v>225</v>
      </c>
      <c r="C63" s="11" t="s">
        <v>223</v>
      </c>
      <c r="D63" s="12">
        <v>14400</v>
      </c>
      <c r="E63" s="12">
        <v>14400</v>
      </c>
      <c r="F63" s="29"/>
    </row>
    <row r="64" spans="1:6" x14ac:dyDescent="0.3">
      <c r="A64" s="30" t="s">
        <v>281</v>
      </c>
      <c r="B64" s="11" t="s">
        <v>225</v>
      </c>
      <c r="C64" s="11" t="s">
        <v>223</v>
      </c>
      <c r="D64" s="12">
        <v>14400</v>
      </c>
      <c r="E64" s="12">
        <v>14400</v>
      </c>
      <c r="F64" s="29"/>
    </row>
    <row r="65" spans="1:6" x14ac:dyDescent="0.3">
      <c r="A65" s="30" t="s">
        <v>282</v>
      </c>
      <c r="B65" s="11" t="s">
        <v>225</v>
      </c>
      <c r="C65" s="11" t="s">
        <v>223</v>
      </c>
      <c r="D65" s="12">
        <v>14400</v>
      </c>
      <c r="E65" s="12">
        <v>14400</v>
      </c>
      <c r="F65" s="29"/>
    </row>
    <row r="66" spans="1:6" x14ac:dyDescent="0.3">
      <c r="A66" s="30" t="s">
        <v>283</v>
      </c>
      <c r="B66" s="11" t="s">
        <v>225</v>
      </c>
      <c r="C66" s="11" t="s">
        <v>223</v>
      </c>
      <c r="D66" s="12">
        <v>14400</v>
      </c>
      <c r="E66" s="12">
        <v>14400</v>
      </c>
      <c r="F66" s="29"/>
    </row>
    <row r="67" spans="1:6" x14ac:dyDescent="0.3">
      <c r="A67" s="30" t="s">
        <v>284</v>
      </c>
      <c r="B67" s="11" t="s">
        <v>225</v>
      </c>
      <c r="C67" s="11" t="s">
        <v>223</v>
      </c>
      <c r="D67" s="12">
        <v>14400</v>
      </c>
      <c r="E67" s="12">
        <v>14400</v>
      </c>
      <c r="F67" s="29"/>
    </row>
    <row r="68" spans="1:6" x14ac:dyDescent="0.3">
      <c r="A68" s="30" t="s">
        <v>285</v>
      </c>
      <c r="B68" s="11" t="s">
        <v>225</v>
      </c>
      <c r="C68" s="11" t="s">
        <v>223</v>
      </c>
      <c r="D68" s="12">
        <v>14400</v>
      </c>
      <c r="E68" s="12">
        <v>14400</v>
      </c>
      <c r="F68" s="29"/>
    </row>
    <row r="69" spans="1:6" x14ac:dyDescent="0.3">
      <c r="A69" s="30" t="s">
        <v>286</v>
      </c>
      <c r="B69" s="11" t="s">
        <v>225</v>
      </c>
      <c r="C69" s="11" t="s">
        <v>223</v>
      </c>
      <c r="D69" s="12">
        <v>14400</v>
      </c>
      <c r="E69" s="12">
        <v>14400</v>
      </c>
      <c r="F69" s="29"/>
    </row>
    <row r="70" spans="1:6" ht="15" thickBot="1" x14ac:dyDescent="0.35">
      <c r="A70" s="31" t="s">
        <v>287</v>
      </c>
      <c r="B70" s="32" t="s">
        <v>225</v>
      </c>
      <c r="C70" s="32" t="s">
        <v>223</v>
      </c>
      <c r="D70" s="33">
        <v>14400</v>
      </c>
      <c r="E70" s="33">
        <v>14400</v>
      </c>
      <c r="F70" s="34"/>
    </row>
    <row r="71" spans="1:6" x14ac:dyDescent="0.3">
      <c r="A71" s="38" t="s">
        <v>221</v>
      </c>
      <c r="B71" s="22" t="s">
        <v>226</v>
      </c>
      <c r="C71" s="22" t="s">
        <v>223</v>
      </c>
      <c r="D71" s="23">
        <v>0</v>
      </c>
      <c r="E71" s="23">
        <v>0</v>
      </c>
      <c r="F71" s="22"/>
    </row>
    <row r="72" spans="1:6" x14ac:dyDescent="0.3">
      <c r="A72" s="28" t="s">
        <v>227</v>
      </c>
      <c r="B72" s="11" t="s">
        <v>226</v>
      </c>
      <c r="C72" s="11" t="s">
        <v>223</v>
      </c>
      <c r="D72" s="12">
        <v>0</v>
      </c>
      <c r="E72" s="12">
        <v>0</v>
      </c>
      <c r="F72" s="11"/>
    </row>
    <row r="73" spans="1:6" x14ac:dyDescent="0.3">
      <c r="A73" s="28" t="s">
        <v>228</v>
      </c>
      <c r="B73" s="11" t="s">
        <v>226</v>
      </c>
      <c r="C73" s="11" t="s">
        <v>223</v>
      </c>
      <c r="D73" s="12">
        <v>0</v>
      </c>
      <c r="E73" s="12">
        <v>0</v>
      </c>
      <c r="F73" s="11"/>
    </row>
    <row r="74" spans="1:6" x14ac:dyDescent="0.3">
      <c r="A74" s="28" t="s">
        <v>229</v>
      </c>
      <c r="B74" s="11" t="s">
        <v>226</v>
      </c>
      <c r="C74" s="11" t="s">
        <v>223</v>
      </c>
      <c r="D74" s="12">
        <v>0</v>
      </c>
      <c r="E74" s="12">
        <v>0</v>
      </c>
      <c r="F74" s="11"/>
    </row>
    <row r="75" spans="1:6" x14ac:dyDescent="0.3">
      <c r="A75" s="28" t="s">
        <v>230</v>
      </c>
      <c r="B75" s="11" t="s">
        <v>226</v>
      </c>
      <c r="C75" s="11" t="s">
        <v>223</v>
      </c>
      <c r="D75" s="12">
        <v>11200</v>
      </c>
      <c r="E75" s="12">
        <v>11200</v>
      </c>
      <c r="F75" s="11"/>
    </row>
    <row r="76" spans="1:6" x14ac:dyDescent="0.3">
      <c r="A76" s="28" t="s">
        <v>270</v>
      </c>
      <c r="B76" s="11" t="s">
        <v>226</v>
      </c>
      <c r="C76" s="11" t="s">
        <v>223</v>
      </c>
      <c r="D76" s="20">
        <v>19600</v>
      </c>
      <c r="E76" s="20">
        <v>19600</v>
      </c>
      <c r="F76" s="19"/>
    </row>
    <row r="77" spans="1:6" x14ac:dyDescent="0.3">
      <c r="A77" s="28" t="s">
        <v>271</v>
      </c>
      <c r="B77" s="11" t="s">
        <v>226</v>
      </c>
      <c r="C77" s="11" t="s">
        <v>223</v>
      </c>
      <c r="D77" s="20">
        <v>19600</v>
      </c>
      <c r="E77" s="20">
        <v>19600</v>
      </c>
      <c r="F77" s="19"/>
    </row>
    <row r="78" spans="1:6" x14ac:dyDescent="0.3">
      <c r="A78" s="28" t="s">
        <v>272</v>
      </c>
      <c r="B78" s="11" t="s">
        <v>226</v>
      </c>
      <c r="C78" s="11" t="s">
        <v>223</v>
      </c>
      <c r="D78" s="20">
        <v>19600</v>
      </c>
      <c r="E78" s="20">
        <v>19600</v>
      </c>
      <c r="F78" s="19"/>
    </row>
    <row r="79" spans="1:6" x14ac:dyDescent="0.3">
      <c r="A79" s="28" t="s">
        <v>273</v>
      </c>
      <c r="B79" s="11" t="s">
        <v>226</v>
      </c>
      <c r="C79" s="11" t="s">
        <v>223</v>
      </c>
      <c r="D79" s="20">
        <v>19600</v>
      </c>
      <c r="E79" s="20">
        <v>19600</v>
      </c>
      <c r="F79" s="19"/>
    </row>
    <row r="80" spans="1:6" x14ac:dyDescent="0.3">
      <c r="A80" s="28" t="s">
        <v>274</v>
      </c>
      <c r="B80" s="11" t="s">
        <v>226</v>
      </c>
      <c r="C80" s="11" t="s">
        <v>223</v>
      </c>
      <c r="D80" s="20">
        <v>0</v>
      </c>
      <c r="E80" s="20">
        <v>0</v>
      </c>
      <c r="F80" s="19"/>
    </row>
    <row r="81" spans="1:6" x14ac:dyDescent="0.3">
      <c r="A81" s="30" t="s">
        <v>275</v>
      </c>
      <c r="B81" s="11" t="s">
        <v>226</v>
      </c>
      <c r="C81" s="11" t="s">
        <v>223</v>
      </c>
      <c r="D81" s="20">
        <v>0</v>
      </c>
      <c r="E81" s="20">
        <v>0</v>
      </c>
      <c r="F81" s="19"/>
    </row>
    <row r="82" spans="1:6" x14ac:dyDescent="0.3">
      <c r="A82" s="30" t="s">
        <v>276</v>
      </c>
      <c r="B82" s="11" t="s">
        <v>226</v>
      </c>
      <c r="C82" s="11" t="s">
        <v>223</v>
      </c>
      <c r="D82" s="20">
        <v>0</v>
      </c>
      <c r="E82" s="20">
        <v>0</v>
      </c>
      <c r="F82" s="19"/>
    </row>
    <row r="83" spans="1:6" x14ac:dyDescent="0.3">
      <c r="A83" s="30" t="s">
        <v>277</v>
      </c>
      <c r="B83" s="11" t="s">
        <v>226</v>
      </c>
      <c r="C83" s="11" t="s">
        <v>223</v>
      </c>
      <c r="D83" s="20">
        <v>0</v>
      </c>
      <c r="E83" s="20">
        <v>0</v>
      </c>
      <c r="F83" s="19"/>
    </row>
    <row r="84" spans="1:6" x14ac:dyDescent="0.3">
      <c r="A84" s="30" t="s">
        <v>278</v>
      </c>
      <c r="B84" s="11" t="s">
        <v>226</v>
      </c>
      <c r="C84" s="11" t="s">
        <v>223</v>
      </c>
      <c r="D84" s="20">
        <v>0</v>
      </c>
      <c r="E84" s="20">
        <v>0</v>
      </c>
      <c r="F84" s="19"/>
    </row>
    <row r="85" spans="1:6" x14ac:dyDescent="0.3">
      <c r="A85" s="30" t="s">
        <v>279</v>
      </c>
      <c r="B85" s="11" t="s">
        <v>226</v>
      </c>
      <c r="C85" s="11" t="s">
        <v>223</v>
      </c>
      <c r="D85" s="20">
        <v>0</v>
      </c>
      <c r="E85" s="20">
        <v>0</v>
      </c>
      <c r="F85" s="19"/>
    </row>
    <row r="86" spans="1:6" x14ac:dyDescent="0.3">
      <c r="A86" s="30" t="s">
        <v>280</v>
      </c>
      <c r="B86" s="11" t="s">
        <v>226</v>
      </c>
      <c r="C86" s="11" t="s">
        <v>223</v>
      </c>
      <c r="D86" s="20">
        <v>0</v>
      </c>
      <c r="E86" s="20">
        <v>0</v>
      </c>
      <c r="F86" s="19"/>
    </row>
    <row r="87" spans="1:6" x14ac:dyDescent="0.3">
      <c r="A87" s="30" t="s">
        <v>281</v>
      </c>
      <c r="B87" s="11" t="s">
        <v>226</v>
      </c>
      <c r="C87" s="11" t="s">
        <v>223</v>
      </c>
      <c r="D87" s="20">
        <v>0</v>
      </c>
      <c r="E87" s="20">
        <v>0</v>
      </c>
      <c r="F87" s="19"/>
    </row>
    <row r="88" spans="1:6" x14ac:dyDescent="0.3">
      <c r="A88" s="30" t="s">
        <v>282</v>
      </c>
      <c r="B88" s="11" t="s">
        <v>226</v>
      </c>
      <c r="C88" s="11" t="s">
        <v>223</v>
      </c>
      <c r="D88" s="20">
        <v>0</v>
      </c>
      <c r="E88" s="20">
        <v>0</v>
      </c>
      <c r="F88" s="19"/>
    </row>
    <row r="89" spans="1:6" x14ac:dyDescent="0.3">
      <c r="A89" s="30" t="s">
        <v>283</v>
      </c>
      <c r="B89" s="11" t="s">
        <v>226</v>
      </c>
      <c r="C89" s="11" t="s">
        <v>223</v>
      </c>
      <c r="D89" s="20">
        <v>0</v>
      </c>
      <c r="E89" s="20">
        <v>0</v>
      </c>
      <c r="F89" s="19"/>
    </row>
    <row r="90" spans="1:6" x14ac:dyDescent="0.3">
      <c r="A90" s="30" t="s">
        <v>284</v>
      </c>
      <c r="B90" s="11" t="s">
        <v>226</v>
      </c>
      <c r="C90" s="11" t="s">
        <v>223</v>
      </c>
      <c r="D90" s="20">
        <v>0</v>
      </c>
      <c r="E90" s="20">
        <v>0</v>
      </c>
      <c r="F90" s="19"/>
    </row>
    <row r="91" spans="1:6" x14ac:dyDescent="0.3">
      <c r="A91" s="30" t="s">
        <v>285</v>
      </c>
      <c r="B91" s="11" t="s">
        <v>226</v>
      </c>
      <c r="C91" s="11" t="s">
        <v>223</v>
      </c>
      <c r="D91" s="20">
        <v>0</v>
      </c>
      <c r="E91" s="20">
        <v>0</v>
      </c>
      <c r="F91" s="19"/>
    </row>
    <row r="92" spans="1:6" x14ac:dyDescent="0.3">
      <c r="A92" s="30" t="s">
        <v>286</v>
      </c>
      <c r="B92" s="11" t="s">
        <v>226</v>
      </c>
      <c r="C92" s="11" t="s">
        <v>223</v>
      </c>
      <c r="D92" s="20">
        <v>0</v>
      </c>
      <c r="E92" s="20">
        <v>0</v>
      </c>
      <c r="F92" s="19"/>
    </row>
    <row r="93" spans="1:6" ht="15" thickBot="1" x14ac:dyDescent="0.35">
      <c r="A93" s="31" t="s">
        <v>287</v>
      </c>
      <c r="B93" s="11" t="s">
        <v>226</v>
      </c>
      <c r="C93" s="11" t="s">
        <v>223</v>
      </c>
      <c r="D93" s="20">
        <v>0</v>
      </c>
      <c r="E93" s="20">
        <v>0</v>
      </c>
      <c r="F93" s="19"/>
    </row>
    <row r="94" spans="1:6" x14ac:dyDescent="0.3">
      <c r="C94" s="13" t="s">
        <v>231</v>
      </c>
      <c r="D94" s="14">
        <f>SUM(D2:D93)</f>
        <v>4096303.3799999985</v>
      </c>
      <c r="E94" s="14">
        <f>SUM(E2:E93)</f>
        <v>4010204.4606666653</v>
      </c>
    </row>
    <row r="96" spans="1:6" x14ac:dyDescent="0.3">
      <c r="A96" s="15" t="s">
        <v>232</v>
      </c>
    </row>
    <row r="97" spans="1:1" x14ac:dyDescent="0.3">
      <c r="A97" s="16" t="s">
        <v>233</v>
      </c>
    </row>
    <row r="98" spans="1:1" x14ac:dyDescent="0.3">
      <c r="A98" s="16" t="s">
        <v>234</v>
      </c>
    </row>
    <row r="99" spans="1:1" x14ac:dyDescent="0.3">
      <c r="A99" s="16" t="s">
        <v>235</v>
      </c>
    </row>
    <row r="100" spans="1:1" x14ac:dyDescent="0.3">
      <c r="A100" s="16" t="s">
        <v>236</v>
      </c>
    </row>
    <row r="101" spans="1:1" x14ac:dyDescent="0.3">
      <c r="A101" s="16" t="s">
        <v>237</v>
      </c>
    </row>
  </sheetData>
  <autoFilter ref="A1:F94" xr:uid="{7D90CD67-ABD7-4766-85C9-110858CF3095}"/>
  <phoneticPr fontId="10" type="noConversion"/>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Cronograma_Fase2</vt:lpstr>
      <vt:lpstr>cronograma_original</vt:lpstr>
      <vt:lpstr>Sucursales</vt:lpstr>
      <vt:lpstr>Presupuesto</vt:lpstr>
      <vt:lpstr>Corridas_Financieras</vt:lpstr>
      <vt:lpstr>Riesgos</vt:lpstr>
      <vt:lpstr>Highlights</vt:lpstr>
      <vt:lpstr>LEEME</vt:lpstr>
      <vt:lpstr>Matriz_Riesgos</vt:lpstr>
      <vt:lpstr>Gastos_Equipo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Reynaga Gil</cp:lastModifiedBy>
  <dcterms:created xsi:type="dcterms:W3CDTF">2026-07-13T02:16:22Z</dcterms:created>
  <dcterms:modified xsi:type="dcterms:W3CDTF">2026-08-11T23:38:11Z</dcterms:modified>
</cp:coreProperties>
</file>